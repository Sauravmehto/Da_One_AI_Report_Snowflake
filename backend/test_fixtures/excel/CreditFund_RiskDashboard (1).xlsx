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nee\Downloads\"/>
    </mc:Choice>
  </mc:AlternateContent>
  <xr:revisionPtr revIDLastSave="0" documentId="13_ncr:1_{054C8EEA-86C5-4FEF-94D0-5E4CAABE938D}" xr6:coauthVersionLast="47" xr6:coauthVersionMax="47" xr10:uidLastSave="{00000000-0000-0000-0000-000000000000}"/>
  <bookViews>
    <workbookView xWindow="16354" yWindow="-103" windowWidth="33120" windowHeight="18720" tabRatio="500" activeTab="4" xr2:uid="{00000000-000D-0000-FFFF-FFFF00000000}"/>
  </bookViews>
  <sheets>
    <sheet name="RISK_DASHBOARD" sheetId="3" r:id="rId1"/>
    <sheet name="EXPOSURE_ANALYSIS" sheetId="4" r:id="rId2"/>
    <sheet name="LOAN_DATA" sheetId="1" r:id="rId3"/>
    <sheet name="ASSUMPTIONS" sheetId="2" r:id="rId4"/>
    <sheet name="TIMESERI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48" i="5" l="1"/>
  <c r="J48" i="5"/>
  <c r="I48" i="5"/>
  <c r="H48" i="5"/>
  <c r="G48" i="5"/>
  <c r="F48" i="5"/>
  <c r="E48" i="5"/>
  <c r="D48" i="5"/>
  <c r="C48" i="5"/>
  <c r="K47" i="5"/>
  <c r="J47" i="5"/>
  <c r="I47" i="5"/>
  <c r="H47" i="5"/>
  <c r="G47" i="5"/>
  <c r="F47" i="5"/>
  <c r="E47" i="5"/>
  <c r="D47" i="5"/>
  <c r="C47" i="5"/>
  <c r="K46" i="5"/>
  <c r="J46" i="5"/>
  <c r="I46" i="5"/>
  <c r="H46" i="5"/>
  <c r="G46" i="5"/>
  <c r="F46" i="5"/>
  <c r="E46" i="5"/>
  <c r="D46" i="5"/>
  <c r="C46" i="5"/>
  <c r="K45" i="5"/>
  <c r="J45" i="5"/>
  <c r="I45" i="5"/>
  <c r="H45" i="5"/>
  <c r="G45" i="5"/>
  <c r="F45" i="5"/>
  <c r="E45" i="5"/>
  <c r="D45" i="5"/>
  <c r="C45" i="5"/>
  <c r="K44" i="5"/>
  <c r="J44" i="5"/>
  <c r="I44" i="5"/>
  <c r="H44" i="5"/>
  <c r="G44" i="5"/>
  <c r="F44" i="5"/>
  <c r="E44" i="5"/>
  <c r="D44" i="5"/>
  <c r="C44" i="5"/>
  <c r="K43" i="5"/>
  <c r="J43" i="5"/>
  <c r="I43" i="5"/>
  <c r="H43" i="5"/>
  <c r="G43" i="5"/>
  <c r="F43" i="5"/>
  <c r="E43" i="5"/>
  <c r="D43" i="5"/>
  <c r="C43" i="5"/>
  <c r="K42" i="5"/>
  <c r="J42" i="5"/>
  <c r="I42" i="5"/>
  <c r="H42" i="5"/>
  <c r="G42" i="5"/>
  <c r="F42" i="5"/>
  <c r="E42" i="5"/>
  <c r="D42" i="5"/>
  <c r="C42" i="5"/>
  <c r="K41" i="5"/>
  <c r="J41" i="5"/>
  <c r="I41" i="5"/>
  <c r="H41" i="5"/>
  <c r="G41" i="5"/>
  <c r="F41" i="5"/>
  <c r="E41" i="5"/>
  <c r="D41" i="5"/>
  <c r="C41" i="5"/>
  <c r="K40" i="5"/>
  <c r="J40" i="5"/>
  <c r="I40" i="5"/>
  <c r="H40" i="5"/>
  <c r="G40" i="5"/>
  <c r="F40" i="5"/>
  <c r="E40" i="5"/>
  <c r="D40" i="5"/>
  <c r="C40" i="5"/>
  <c r="F27" i="4"/>
  <c r="D27" i="4"/>
  <c r="C27" i="4"/>
  <c r="G27" i="4" s="1"/>
  <c r="B27" i="4"/>
  <c r="A27" i="4"/>
  <c r="F26" i="4"/>
  <c r="D26" i="4"/>
  <c r="G26" i="4" s="1"/>
  <c r="C26" i="4"/>
  <c r="B26" i="4"/>
  <c r="A26" i="4"/>
  <c r="F25" i="4"/>
  <c r="D25" i="4"/>
  <c r="C25" i="4"/>
  <c r="G25" i="4" s="1"/>
  <c r="B25" i="4"/>
  <c r="A25" i="4"/>
  <c r="F24" i="4"/>
  <c r="D24" i="4"/>
  <c r="C24" i="4"/>
  <c r="G24" i="4" s="1"/>
  <c r="B24" i="4"/>
  <c r="A24" i="4"/>
  <c r="G23" i="4"/>
  <c r="F23" i="4"/>
  <c r="D23" i="4"/>
  <c r="C23" i="4"/>
  <c r="E23" i="4" s="1"/>
  <c r="H23" i="4" s="1"/>
  <c r="B23" i="4"/>
  <c r="A23" i="4"/>
  <c r="G18" i="4"/>
  <c r="F18" i="4"/>
  <c r="D18" i="4"/>
  <c r="E18" i="4" s="1"/>
  <c r="C18" i="4"/>
  <c r="B18" i="4"/>
  <c r="G17" i="4"/>
  <c r="F17" i="4"/>
  <c r="D17" i="4"/>
  <c r="E17" i="4" s="1"/>
  <c r="C17" i="4"/>
  <c r="B17" i="4"/>
  <c r="G16" i="4"/>
  <c r="F16" i="4"/>
  <c r="D16" i="4"/>
  <c r="E16" i="4" s="1"/>
  <c r="C16" i="4"/>
  <c r="B16" i="4"/>
  <c r="G15" i="4"/>
  <c r="F15" i="4"/>
  <c r="D15" i="4"/>
  <c r="D19" i="4" s="1"/>
  <c r="C15" i="4"/>
  <c r="C19" i="4" s="1"/>
  <c r="B15" i="4"/>
  <c r="B19" i="4" s="1"/>
  <c r="O10" i="4"/>
  <c r="N10" i="4"/>
  <c r="M10" i="4"/>
  <c r="K10" i="4"/>
  <c r="J10" i="4"/>
  <c r="I10" i="4"/>
  <c r="H10" i="4"/>
  <c r="F10" i="4"/>
  <c r="G10" i="4" s="1"/>
  <c r="E10" i="4"/>
  <c r="D10" i="4"/>
  <c r="C10" i="4"/>
  <c r="B10" i="4"/>
  <c r="A10" i="4"/>
  <c r="O9" i="4"/>
  <c r="N9" i="4"/>
  <c r="L9" i="4"/>
  <c r="K9" i="4"/>
  <c r="J9" i="4"/>
  <c r="I9" i="4"/>
  <c r="H9" i="4"/>
  <c r="F9" i="4"/>
  <c r="G9" i="4" s="1"/>
  <c r="E9" i="4"/>
  <c r="D9" i="4"/>
  <c r="C9" i="4"/>
  <c r="B9" i="4"/>
  <c r="A9" i="4"/>
  <c r="O8" i="4"/>
  <c r="N8" i="4"/>
  <c r="M8" i="4"/>
  <c r="L8" i="4"/>
  <c r="K8" i="4"/>
  <c r="J8" i="4"/>
  <c r="I8" i="4"/>
  <c r="H8" i="4"/>
  <c r="F8" i="4"/>
  <c r="G8" i="4" s="1"/>
  <c r="E8" i="4"/>
  <c r="I11" i="4" s="1"/>
  <c r="D8" i="4"/>
  <c r="C8" i="4"/>
  <c r="B8" i="4"/>
  <c r="A8" i="4"/>
  <c r="O7" i="4"/>
  <c r="N7" i="4"/>
  <c r="K7" i="4"/>
  <c r="J7" i="4"/>
  <c r="I7" i="4"/>
  <c r="H7" i="4"/>
  <c r="F7" i="4"/>
  <c r="G7" i="4" s="1"/>
  <c r="E7" i="4"/>
  <c r="D7" i="4"/>
  <c r="C7" i="4"/>
  <c r="B7" i="4"/>
  <c r="A7" i="4"/>
  <c r="O6" i="4"/>
  <c r="N6" i="4"/>
  <c r="M6" i="4"/>
  <c r="L6" i="4"/>
  <c r="K6" i="4"/>
  <c r="J6" i="4"/>
  <c r="I6" i="4"/>
  <c r="H6" i="4"/>
  <c r="G6" i="4"/>
  <c r="F6" i="4"/>
  <c r="F11" i="4" s="1"/>
  <c r="E6" i="4"/>
  <c r="E11" i="4" s="1"/>
  <c r="D6" i="4"/>
  <c r="C6" i="4"/>
  <c r="B6" i="4"/>
  <c r="A6" i="4"/>
  <c r="I30" i="3"/>
  <c r="K30" i="3" s="1"/>
  <c r="F30" i="3"/>
  <c r="H30" i="3" s="1"/>
  <c r="E30" i="3"/>
  <c r="D30" i="3"/>
  <c r="C30" i="3"/>
  <c r="B30" i="3"/>
  <c r="A30" i="3"/>
  <c r="I29" i="3"/>
  <c r="K29" i="3" s="1"/>
  <c r="H29" i="3"/>
  <c r="F29" i="3"/>
  <c r="E29" i="3"/>
  <c r="M29" i="3" s="1"/>
  <c r="D29" i="3"/>
  <c r="C29" i="3"/>
  <c r="B29" i="3"/>
  <c r="A29" i="3"/>
  <c r="I28" i="3"/>
  <c r="K28" i="3" s="1"/>
  <c r="F28" i="3"/>
  <c r="H28" i="3" s="1"/>
  <c r="E28" i="3"/>
  <c r="D28" i="3"/>
  <c r="C28" i="3"/>
  <c r="B28" i="3"/>
  <c r="A28" i="3"/>
  <c r="I27" i="3"/>
  <c r="K27" i="3" s="1"/>
  <c r="H27" i="3"/>
  <c r="F27" i="3"/>
  <c r="E27" i="3"/>
  <c r="M27" i="3" s="1"/>
  <c r="D27" i="3"/>
  <c r="C27" i="3"/>
  <c r="B27" i="3"/>
  <c r="A27" i="3"/>
  <c r="I26" i="3"/>
  <c r="K26" i="3" s="1"/>
  <c r="F26" i="3"/>
  <c r="H26" i="3" s="1"/>
  <c r="E26" i="3"/>
  <c r="D26" i="3"/>
  <c r="C26" i="3"/>
  <c r="B26" i="3"/>
  <c r="A26" i="3"/>
  <c r="A23" i="3"/>
  <c r="C22" i="3"/>
  <c r="B22" i="3"/>
  <c r="G21" i="3"/>
  <c r="F21" i="3"/>
  <c r="E21" i="3"/>
  <c r="D21" i="3"/>
  <c r="I21" i="3" s="1"/>
  <c r="C21" i="3"/>
  <c r="B21" i="3"/>
  <c r="G20" i="3"/>
  <c r="F20" i="3"/>
  <c r="E20" i="3"/>
  <c r="D20" i="3"/>
  <c r="I20" i="3" s="1"/>
  <c r="C20" i="3"/>
  <c r="B20" i="3"/>
  <c r="I19" i="3"/>
  <c r="G19" i="3"/>
  <c r="F19" i="3"/>
  <c r="E19" i="3"/>
  <c r="D19" i="3"/>
  <c r="C19" i="3"/>
  <c r="B19" i="3"/>
  <c r="I18" i="3"/>
  <c r="G18" i="3"/>
  <c r="F18" i="3"/>
  <c r="E18" i="3"/>
  <c r="D18" i="3"/>
  <c r="C18" i="3"/>
  <c r="B18" i="3"/>
  <c r="G17" i="3"/>
  <c r="F17" i="3"/>
  <c r="E17" i="3"/>
  <c r="E22" i="3" s="1"/>
  <c r="D17" i="3"/>
  <c r="I17" i="3" s="1"/>
  <c r="C17" i="3"/>
  <c r="B17" i="3"/>
  <c r="G12" i="3"/>
  <c r="M9" i="3"/>
  <c r="G9" i="3"/>
  <c r="A9" i="3"/>
  <c r="M6" i="3"/>
  <c r="G6" i="3"/>
  <c r="A6" i="3"/>
  <c r="AJ7" i="1"/>
  <c r="AI7" i="1"/>
  <c r="L10" i="4" s="1"/>
  <c r="AH7" i="1"/>
  <c r="L30" i="3" s="1"/>
  <c r="AJ6" i="1"/>
  <c r="M9" i="4" s="1"/>
  <c r="AI6" i="1"/>
  <c r="AH6" i="1"/>
  <c r="L29" i="3" s="1"/>
  <c r="AJ5" i="1"/>
  <c r="AI5" i="1"/>
  <c r="AH5" i="1"/>
  <c r="L28" i="3" s="1"/>
  <c r="AJ4" i="1"/>
  <c r="M7" i="4" s="1"/>
  <c r="AI4" i="1"/>
  <c r="L7" i="4" s="1"/>
  <c r="AH4" i="1"/>
  <c r="L27" i="3" s="1"/>
  <c r="AJ3" i="1"/>
  <c r="AI3" i="1"/>
  <c r="M12" i="3" s="1"/>
  <c r="AH3" i="1"/>
  <c r="L26" i="3" s="1"/>
  <c r="M30" i="3" l="1"/>
  <c r="M28" i="3"/>
  <c r="G11" i="4"/>
  <c r="M26" i="3"/>
  <c r="M11" i="4"/>
  <c r="E26" i="4"/>
  <c r="H26" i="4" s="1"/>
  <c r="D22" i="3"/>
  <c r="J11" i="4"/>
  <c r="L11" i="4"/>
  <c r="E27" i="4"/>
  <c r="H27" i="4" s="1"/>
  <c r="A12" i="3"/>
  <c r="H11" i="4"/>
  <c r="E24" i="4"/>
  <c r="H24" i="4" s="1"/>
  <c r="E15" i="4"/>
  <c r="E19" i="4" s="1"/>
  <c r="E25" i="4"/>
  <c r="H25" i="4" s="1"/>
</calcChain>
</file>

<file path=xl/sharedStrings.xml><?xml version="1.0" encoding="utf-8"?>
<sst xmlns="http://schemas.openxmlformats.org/spreadsheetml/2006/main" count="508" uniqueCount="230">
  <si>
    <t>PRIVATECREDIT.PUBLIC — Meridian Credit Fund I  |  Loan Master Data  (Source: Snowflake PRIVATECREDIT.PUBLIC.PRIVATE_CREDIT + PC_BORROWER_FINANCIALS)</t>
  </si>
  <si>
    <t>Security ID</t>
  </si>
  <si>
    <t>Security Name</t>
  </si>
  <si>
    <t>Fund</t>
  </si>
  <si>
    <t>Borrower</t>
  </si>
  <si>
    <t>Sector</t>
  </si>
  <si>
    <t>Geography</t>
  </si>
  <si>
    <t>Origination Date</t>
  </si>
  <si>
    <t>Maturity Date</t>
  </si>
  <si>
    <t>Tenor (Mo)</t>
  </si>
  <si>
    <t>IO Period (Mo)</t>
  </si>
  <si>
    <t>Principal ($)</t>
  </si>
  <si>
    <t>Current Value ($)</t>
  </si>
  <si>
    <t>Interest Rate</t>
  </si>
  <si>
    <t>PIK Rate</t>
  </si>
  <si>
    <t>Orig Fee</t>
  </si>
  <si>
    <t>EOT Fee</t>
  </si>
  <si>
    <t>Payment Type</t>
  </si>
  <si>
    <t>Repayment Freq</t>
  </si>
  <si>
    <t>LTV</t>
  </si>
  <si>
    <t>DSCR</t>
  </si>
  <si>
    <t>Covenant Status</t>
  </si>
  <si>
    <t>Collateral Type</t>
  </si>
  <si>
    <t>Collateral Value ($)</t>
  </si>
  <si>
    <t>Borrower Revenue ($)</t>
  </si>
  <si>
    <t>Borrower EBITDA ($)</t>
  </si>
  <si>
    <t>Borrower Net Debt ($)</t>
  </si>
  <si>
    <t>Leverage Ratio</t>
  </si>
  <si>
    <t>Interest Coverage</t>
  </si>
  <si>
    <t>Loan Status</t>
  </si>
  <si>
    <t>Last Payment</t>
  </si>
  <si>
    <t>Next Payment</t>
  </si>
  <si>
    <t>Total Interest Rcvd ($)</t>
  </si>
  <si>
    <t>Total Principal Repaid ($)</t>
  </si>
  <si>
    <t>Days to Maturity</t>
  </si>
  <si>
    <t>All-In Yield</t>
  </si>
  <si>
    <t>Annual Income ($)</t>
  </si>
  <si>
    <t>PC001</t>
  </si>
  <si>
    <t>Apex Manufacturing Loan</t>
  </si>
  <si>
    <t>Meridian Credit Fund I</t>
  </si>
  <si>
    <t>Apex Manufacturing Co</t>
  </si>
  <si>
    <t>Industrials</t>
  </si>
  <si>
    <t>USA</t>
  </si>
  <si>
    <t>2023-01-15</t>
  </si>
  <si>
    <t>2027-01-15</t>
  </si>
  <si>
    <t>Amortizing</t>
  </si>
  <si>
    <t>Quarterly</t>
  </si>
  <si>
    <t>Compliant</t>
  </si>
  <si>
    <t>Plant &amp; Machinery</t>
  </si>
  <si>
    <t>Active</t>
  </si>
  <si>
    <t>2025-10-15</t>
  </si>
  <si>
    <t>2026-01-15</t>
  </si>
  <si>
    <t>PC002</t>
  </si>
  <si>
    <t>Sunset Retail Facility</t>
  </si>
  <si>
    <t>Sunset Retail Group</t>
  </si>
  <si>
    <t>Retail</t>
  </si>
  <si>
    <t>UK</t>
  </si>
  <si>
    <t>2023-06-01</t>
  </si>
  <si>
    <t>2026-06-01</t>
  </si>
  <si>
    <t>Monthly</t>
  </si>
  <si>
    <t>Monitoring</t>
  </si>
  <si>
    <t>Receivables &amp; Inventory</t>
  </si>
  <si>
    <t>Matured-Pending</t>
  </si>
  <si>
    <t>2026-05-01</t>
  </si>
  <si>
    <t>PC003</t>
  </si>
  <si>
    <t>TechCo Bridge Loan</t>
  </si>
  <si>
    <t>TechCo Holdings</t>
  </si>
  <si>
    <t>Technology</t>
  </si>
  <si>
    <t>2024-01-01</t>
  </si>
  <si>
    <t>2027-01-01</t>
  </si>
  <si>
    <t>Bullet</t>
  </si>
  <si>
    <t>IP &amp; Software</t>
  </si>
  <si>
    <t>Extended</t>
  </si>
  <si>
    <t>2026-03-01</t>
  </si>
  <si>
    <t>PC004</t>
  </si>
  <si>
    <t>GreenEnergy Term Loan</t>
  </si>
  <si>
    <t>GreenEnergy GmbH</t>
  </si>
  <si>
    <t>Energy</t>
  </si>
  <si>
    <t>Germany</t>
  </si>
  <si>
    <t>2022-09-01</t>
  </si>
  <si>
    <t>2027-09-01</t>
  </si>
  <si>
    <t>Semi-Annual</t>
  </si>
  <si>
    <t>Breach Risk</t>
  </si>
  <si>
    <t>Real Assets</t>
  </si>
  <si>
    <t>Watch-list</t>
  </si>
  <si>
    <t>2026-09-01</t>
  </si>
  <si>
    <t>PC005</t>
  </si>
  <si>
    <t>MedSupply Revolving Credit</t>
  </si>
  <si>
    <t>MedSupply Corp</t>
  </si>
  <si>
    <t>Healthcare</t>
  </si>
  <si>
    <t>Canada</t>
  </si>
  <si>
    <t>2023-11-01</t>
  </si>
  <si>
    <t>2026-11-01</t>
  </si>
  <si>
    <t>Receivables</t>
  </si>
  <si>
    <t>FX RATES  (Source: PC_FX_RATES — WM/Reuters 4pm London Fix)</t>
  </si>
  <si>
    <t>Quarter</t>
  </si>
  <si>
    <t>Rate Date</t>
  </si>
  <si>
    <t>Currency Pair</t>
  </si>
  <si>
    <t>Rate to USD</t>
  </si>
  <si>
    <t>Rate Source</t>
  </si>
  <si>
    <t>Q1 2026</t>
  </si>
  <si>
    <t>2026-03-31</t>
  </si>
  <si>
    <t>GBP/USD</t>
  </si>
  <si>
    <t>WM/Reuters</t>
  </si>
  <si>
    <t>EUR/USD</t>
  </si>
  <si>
    <t>CAD/USD</t>
  </si>
  <si>
    <t>Q4 2025</t>
  </si>
  <si>
    <t>2025-12-31</t>
  </si>
  <si>
    <t>Q3 2025</t>
  </si>
  <si>
    <t>2025-09-30</t>
  </si>
  <si>
    <t>Meridian Credit Fund I — Model Assumptions &amp; Inputs</t>
  </si>
  <si>
    <t>FUND PARAMETERS</t>
  </si>
  <si>
    <t>Fund inception date</t>
  </si>
  <si>
    <t>2022-06-15</t>
  </si>
  <si>
    <t>Reporting currency</t>
  </si>
  <si>
    <t>USD</t>
  </si>
  <si>
    <t>Total LP commitments ($)</t>
  </si>
  <si>
    <t>GP commitment ($)</t>
  </si>
  <si>
    <t>Fund term (years)</t>
  </si>
  <si>
    <t>Investment period (years)</t>
  </si>
  <si>
    <t>Target gross IRR (%)</t>
  </si>
  <si>
    <t>Target net IRR (%)</t>
  </si>
  <si>
    <t>Benchmark</t>
  </si>
  <si>
    <t>Cliffwater Direct Lending Index</t>
  </si>
  <si>
    <t>RISK LIMITS</t>
  </si>
  <si>
    <t>Max single-name exposure (%)</t>
  </si>
  <si>
    <t>Max sector — Technology (%)</t>
  </si>
  <si>
    <t>Max sector — Industrials (%)</t>
  </si>
  <si>
    <t>Max sector — Retail (%)</t>
  </si>
  <si>
    <t>Max sector — Energy (%)</t>
  </si>
  <si>
    <t>Max sector — Healthcare (%)</t>
  </si>
  <si>
    <t>Max geography — Non-USD (%)</t>
  </si>
  <si>
    <t>COVENANT FLOORS</t>
  </si>
  <si>
    <t>Min DSCR (all loans)</t>
  </si>
  <si>
    <t>Max LTV (standard)</t>
  </si>
  <si>
    <t>Max LTV (Retail)</t>
  </si>
  <si>
    <t>Max LTV (Technology)</t>
  </si>
  <si>
    <t>FEE ASSUMPTIONS</t>
  </si>
  <si>
    <t>Standard management fee (%)</t>
  </si>
  <si>
    <t>Standard carry (%)</t>
  </si>
  <si>
    <t>Preferred return (hurdle, %)</t>
  </si>
  <si>
    <t>Catch-up (%)</t>
  </si>
  <si>
    <t>VALUATION</t>
  </si>
  <si>
    <t>Primary mark methodology</t>
  </si>
  <si>
    <t>DCF</t>
  </si>
  <si>
    <t>Discount rate — performing (%)</t>
  </si>
  <si>
    <t>Discount rate — monitoring (%)</t>
  </si>
  <si>
    <t>Discount rate — breach (%)</t>
  </si>
  <si>
    <t>Meridian Credit Fund I  —  Risk Dashboard</t>
  </si>
  <si>
    <t>As of Q1 2026  |  All figures in USD unless stated  |  Source: PRIVATECREDIT.PUBLIC (Snowflake)</t>
  </si>
  <si>
    <t xml:space="preserve">  A.  Portfolio Risk Scorecard</t>
  </si>
  <si>
    <t>Total Committed ($)</t>
  </si>
  <si>
    <t>Total Fair Value ($)</t>
  </si>
  <si>
    <t># Active Loans</t>
  </si>
  <si>
    <t>Avg LTV</t>
  </si>
  <si>
    <t>Avg DSCR</t>
  </si>
  <si>
    <t># Covenant Breaches</t>
  </si>
  <si>
    <t>Annual Cash Income ($)</t>
  </si>
  <si>
    <t>Wtd Avg Int Rate</t>
  </si>
  <si>
    <t>Wtd Avg All-In Yield</t>
  </si>
  <si>
    <t xml:space="preserve">  B.  Exposure by Sector</t>
  </si>
  <si>
    <t># Loans</t>
  </si>
  <si>
    <t>Fair Value ($)</t>
  </si>
  <si>
    <t>% of Portfolio</t>
  </si>
  <si>
    <t>Risk Limit</t>
  </si>
  <si>
    <t>Status</t>
  </si>
  <si>
    <t>TOTAL</t>
  </si>
  <si>
    <t xml:space="preserve">  C.  Covenant &amp; Loan Status Monitor</t>
  </si>
  <si>
    <t>LTV Limit</t>
  </si>
  <si>
    <t>LTV Headroom</t>
  </si>
  <si>
    <t>DSCR Floor</t>
  </si>
  <si>
    <t>DSCR Headroom</t>
  </si>
  <si>
    <t>Action Required</t>
  </si>
  <si>
    <t>Meridian Credit Fund I  —  Exposure Analysis</t>
  </si>
  <si>
    <t>Portfolio concentration, geography, and collateral breakdown  |  Source: PRIVATECREDIT.PUBLIC</t>
  </si>
  <si>
    <t xml:space="preserve">  A.  Loan-Level Exposure Summary</t>
  </si>
  <si>
    <t>% NAV</t>
  </si>
  <si>
    <t>Rate</t>
  </si>
  <si>
    <t>PIK</t>
  </si>
  <si>
    <t>Covenant</t>
  </si>
  <si>
    <t>TOTAL / WTD AVG</t>
  </si>
  <si>
    <t xml:space="preserve">  B.  Geography Breakdown</t>
  </si>
  <si>
    <t>% Portfolio</t>
  </si>
  <si>
    <t>CCY</t>
  </si>
  <si>
    <t>GBP</t>
  </si>
  <si>
    <t>EUR</t>
  </si>
  <si>
    <t>CAD</t>
  </si>
  <si>
    <t xml:space="preserve">  C.  Collateral Coverage Analysis</t>
  </si>
  <si>
    <t>Coverage Ratio</t>
  </si>
  <si>
    <t>Collateral Cushion ($)</t>
  </si>
  <si>
    <t>Assessment</t>
  </si>
  <si>
    <t>Meridian Credit Fund I  —  Time-Series Analysis</t>
  </si>
  <si>
    <t>Quarterly marks, fair value, unrealized G/L, income accrual  |  Source: PC_MARKS + PC_CASHFLOW</t>
  </si>
  <si>
    <t xml:space="preserve">  A.  Quarterly Fair Value Marks — by Loan</t>
  </si>
  <si>
    <t>Mark Date</t>
  </si>
  <si>
    <t>Outstanding Principal ($)</t>
  </si>
  <si>
    <t>Unrealized G/L ($)</t>
  </si>
  <si>
    <t>Mark-to-Par</t>
  </si>
  <si>
    <t>DSCR at Mark</t>
  </si>
  <si>
    <t>LTV at Mark</t>
  </si>
  <si>
    <t>Cash Interest Accrued ($)</t>
  </si>
  <si>
    <t>PIK Interest Accrued ($)</t>
  </si>
  <si>
    <t>Total Income Accrued ($)</t>
  </si>
  <si>
    <t>Mark Method</t>
  </si>
  <si>
    <t>Q1 2023</t>
  </si>
  <si>
    <t>2023-03-31</t>
  </si>
  <si>
    <t>Cost</t>
  </si>
  <si>
    <t>Q2 2023</t>
  </si>
  <si>
    <t>2023-06-30</t>
  </si>
  <si>
    <t>Q3 2023</t>
  </si>
  <si>
    <t>2023-09-30</t>
  </si>
  <si>
    <t>Q4 2023</t>
  </si>
  <si>
    <t>2023-12-31</t>
  </si>
  <si>
    <t>Q1 2024</t>
  </si>
  <si>
    <t>2024-03-31</t>
  </si>
  <si>
    <t>Q2 2024</t>
  </si>
  <si>
    <t>2024-06-30</t>
  </si>
  <si>
    <t>Q3 2024</t>
  </si>
  <si>
    <t>2024-09-30</t>
  </si>
  <si>
    <t>Q4 2024</t>
  </si>
  <si>
    <t>2024-12-31</t>
  </si>
  <si>
    <t xml:space="preserve">  B.  Quarterly Portfolio Roll-Up (Aggregated)</t>
  </si>
  <si>
    <t># Loans Marked</t>
  </si>
  <si>
    <t>Total Outstanding ($)</t>
  </si>
  <si>
    <t>Aggregate Unrealized G/L ($)</t>
  </si>
  <si>
    <t>Wtd Avg Mark-to-Par</t>
  </si>
  <si>
    <t>Wtd Avg DSCR</t>
  </si>
  <si>
    <t>Wtd Avg LTV</t>
  </si>
  <si>
    <t># Covenant Issues</t>
  </si>
  <si>
    <t xml:space="preserve">  C.  Charts — Portfolio Fair Value &amp; Unrealized G/L Time-Series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</si>
</sst>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\$#,##0;&quot;($&quot;#,##0\);\-"/>
    <numFmt numFmtId="166" formatCode="0.00\x"/>
    <numFmt numFmtId="167" formatCode="0.0000"/>
    <numFmt numFmtId="168" formatCode="0.0%"/>
    <numFmt numFmtId="169" formatCode="0.000\x"/>
  </numFmts>
  <fonts count="1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9"/>
      <color rgb="FF000000"/>
      <name val="Arial"/>
      <charset val="1"/>
    </font>
    <font>
      <i/>
      <sz val="9"/>
      <color rgb="FF5F5E5A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5F5E5A"/>
      <name val="Arial"/>
      <charset val="1"/>
    </font>
    <font>
      <b/>
      <sz val="10"/>
      <color rgb="FF0000FF"/>
      <name val="Arial"/>
      <charset val="1"/>
    </font>
    <font>
      <b/>
      <sz val="14"/>
      <color rgb="FFFFFFFF"/>
      <name val="Arial"/>
      <charset val="1"/>
    </font>
    <font>
      <i/>
      <sz val="9"/>
      <color rgb="FFD3D1C7"/>
      <name val="Arial"/>
      <charset val="1"/>
    </font>
    <font>
      <sz val="9"/>
      <color rgb="FF5F5E5A"/>
      <name val="Arial"/>
      <charset val="1"/>
    </font>
    <font>
      <sz val="10"/>
      <color rgb="FF0000FF"/>
      <name val="Arial"/>
      <charset val="1"/>
    </font>
    <font>
      <b/>
      <sz val="11"/>
      <color rgb="FF0D1B2A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D1B2A"/>
        <bgColor rgb="FF1B2E45"/>
      </patternFill>
    </fill>
    <fill>
      <patternFill patternType="solid">
        <fgColor rgb="FF1B2E45"/>
        <bgColor rgb="FF0D1B2A"/>
      </patternFill>
    </fill>
    <fill>
      <patternFill patternType="solid">
        <fgColor rgb="FFFFFFFF"/>
        <bgColor rgb="FFF9F9F9"/>
      </patternFill>
    </fill>
    <fill>
      <patternFill patternType="solid">
        <fgColor rgb="FFE1F5EE"/>
        <bgColor rgb="FFE6F1FB"/>
      </patternFill>
    </fill>
    <fill>
      <patternFill patternType="solid">
        <fgColor rgb="FFF5F5F3"/>
        <bgColor rgb="FFF9F9F9"/>
      </patternFill>
    </fill>
    <fill>
      <patternFill patternType="solid">
        <fgColor rgb="FFFAEEDA"/>
        <bgColor rgb="FFFCEBEB"/>
      </patternFill>
    </fill>
    <fill>
      <patternFill patternType="solid">
        <fgColor rgb="FFFCEBEB"/>
        <bgColor rgb="FFFAEEDA"/>
      </patternFill>
    </fill>
    <fill>
      <patternFill patternType="solid">
        <fgColor rgb="FFE6F1FB"/>
        <bgColor rgb="FFE1F5EE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6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166" fontId="10" fillId="10" borderId="1" xfId="0" applyNumberFormat="1" applyFont="1" applyFill="1" applyBorder="1" applyAlignment="1">
      <alignment horizontal="right" vertical="center"/>
    </xf>
    <xf numFmtId="10" fontId="10" fillId="10" borderId="1" xfId="0" applyNumberFormat="1" applyFont="1" applyFill="1" applyBorder="1" applyAlignment="1">
      <alignment horizontal="right" vertical="center"/>
    </xf>
    <xf numFmtId="1" fontId="10" fillId="10" borderId="1" xfId="0" applyNumberFormat="1" applyFont="1" applyFill="1" applyBorder="1" applyAlignment="1">
      <alignment horizontal="right" vertical="center"/>
    </xf>
    <xf numFmtId="165" fontId="10" fillId="10" borderId="1" xfId="0" applyNumberFormat="1" applyFont="1" applyFill="1" applyBorder="1" applyAlignment="1">
      <alignment horizontal="right" vertical="center"/>
    </xf>
    <xf numFmtId="0" fontId="10" fillId="10" borderId="1" xfId="0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10" fontId="3" fillId="4" borderId="1" xfId="0" applyNumberFormat="1" applyFont="1" applyFill="1" applyBorder="1" applyAlignment="1">
      <alignment horizontal="right" vertical="center"/>
    </xf>
    <xf numFmtId="166" fontId="3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right" vertical="center"/>
    </xf>
    <xf numFmtId="165" fontId="3" fillId="6" borderId="1" xfId="0" applyNumberFormat="1" applyFont="1" applyFill="1" applyBorder="1" applyAlignment="1">
      <alignment horizontal="right" vertical="center"/>
    </xf>
    <xf numFmtId="10" fontId="3" fillId="6" borderId="1" xfId="0" applyNumberFormat="1" applyFont="1" applyFill="1" applyBorder="1" applyAlignment="1">
      <alignment horizontal="right" vertical="center"/>
    </xf>
    <xf numFmtId="166" fontId="3" fillId="6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/>
    <xf numFmtId="0" fontId="5" fillId="6" borderId="1" xfId="0" applyFont="1" applyFill="1" applyBorder="1" applyAlignment="1">
      <alignment horizontal="center" vertical="center"/>
    </xf>
    <xf numFmtId="167" fontId="5" fillId="6" borderId="1" xfId="0" applyNumberFormat="1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13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13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13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2" fillId="2" borderId="1" xfId="0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right" vertical="center"/>
    </xf>
    <xf numFmtId="168" fontId="3" fillId="6" borderId="1" xfId="0" applyNumberFormat="1" applyFont="1" applyFill="1" applyBorder="1" applyAlignment="1">
      <alignment horizontal="right" vertical="center"/>
    </xf>
    <xf numFmtId="9" fontId="14" fillId="10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right" vertical="center"/>
    </xf>
    <xf numFmtId="168" fontId="3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1" fontId="8" fillId="3" borderId="1" xfId="0" applyNumberFormat="1" applyFont="1" applyFill="1" applyBorder="1" applyAlignment="1">
      <alignment horizontal="right" vertical="center"/>
    </xf>
    <xf numFmtId="165" fontId="8" fillId="3" borderId="1" xfId="0" applyNumberFormat="1" applyFont="1" applyFill="1" applyBorder="1" applyAlignment="1">
      <alignment horizontal="right" vertical="center"/>
    </xf>
    <xf numFmtId="168" fontId="8" fillId="3" borderId="1" xfId="0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10" fontId="14" fillId="10" borderId="1" xfId="0" applyNumberFormat="1" applyFont="1" applyFill="1" applyBorder="1" applyAlignment="1">
      <alignment horizontal="right" vertical="center"/>
    </xf>
    <xf numFmtId="166" fontId="14" fillId="10" borderId="1" xfId="0" applyNumberFormat="1" applyFont="1" applyFill="1" applyBorder="1" applyAlignment="1">
      <alignment horizontal="right" vertical="center"/>
    </xf>
    <xf numFmtId="3" fontId="3" fillId="6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10" fontId="8" fillId="3" borderId="1" xfId="0" applyNumberFormat="1" applyFont="1" applyFill="1" applyBorder="1" applyAlignment="1">
      <alignment horizontal="right" vertical="center"/>
    </xf>
    <xf numFmtId="166" fontId="8" fillId="3" borderId="1" xfId="0" applyNumberFormat="1" applyFont="1" applyFill="1" applyBorder="1" applyAlignment="1">
      <alignment horizontal="right" vertical="center"/>
    </xf>
    <xf numFmtId="169" fontId="3" fillId="6" borderId="1" xfId="0" applyNumberFormat="1" applyFont="1" applyFill="1" applyBorder="1" applyAlignment="1">
      <alignment horizontal="right" vertical="center"/>
    </xf>
    <xf numFmtId="169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 wrapText="1"/>
    </xf>
    <xf numFmtId="165" fontId="15" fillId="5" borderId="1" xfId="0" applyNumberFormat="1" applyFont="1" applyFill="1" applyBorder="1" applyAlignment="1">
      <alignment horizontal="left" vertical="center"/>
    </xf>
    <xf numFmtId="0" fontId="0" fillId="5" borderId="1" xfId="0" applyFont="1" applyFill="1" applyBorder="1"/>
    <xf numFmtId="10" fontId="15" fillId="9" borderId="1" xfId="0" applyNumberFormat="1" applyFont="1" applyFill="1" applyBorder="1" applyAlignment="1">
      <alignment horizontal="left" vertical="center"/>
    </xf>
    <xf numFmtId="0" fontId="0" fillId="9" borderId="1" xfId="0" applyFont="1" applyFill="1" applyBorder="1"/>
    <xf numFmtId="0" fontId="0" fillId="0" borderId="0" xfId="0" applyFont="1"/>
    <xf numFmtId="10" fontId="15" fillId="7" borderId="1" xfId="0" applyNumberFormat="1" applyFont="1" applyFill="1" applyBorder="1" applyAlignment="1">
      <alignment horizontal="left" vertical="center"/>
    </xf>
    <xf numFmtId="0" fontId="0" fillId="7" borderId="1" xfId="0" applyFont="1" applyFill="1" applyBorder="1"/>
    <xf numFmtId="166" fontId="15" fillId="7" borderId="1" xfId="0" applyNumberFormat="1" applyFont="1" applyFill="1" applyBorder="1" applyAlignment="1">
      <alignment horizontal="left" vertical="center"/>
    </xf>
    <xf numFmtId="1" fontId="15" fillId="8" borderId="1" xfId="0" applyNumberFormat="1" applyFont="1" applyFill="1" applyBorder="1" applyAlignment="1">
      <alignment horizontal="left" vertical="center"/>
    </xf>
    <xf numFmtId="0" fontId="0" fillId="8" borderId="1" xfId="0" applyFont="1" applyFill="1" applyBorder="1"/>
    <xf numFmtId="1" fontId="15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ill>
        <patternFill>
          <bgColor rgb="FFFCEBEB"/>
        </patternFill>
      </fill>
    </dxf>
    <dxf>
      <fill>
        <patternFill>
          <bgColor rgb="FFFCEBEB"/>
        </patternFill>
      </fill>
    </dxf>
    <dxf>
      <font>
        <b/>
        <color rgb="FF1D9E75"/>
      </font>
      <fill>
        <patternFill>
          <bgColor rgb="FFE1F5EE"/>
        </patternFill>
      </fill>
    </dxf>
    <dxf>
      <font>
        <b/>
        <color rgb="FFBA7517"/>
      </font>
      <fill>
        <patternFill>
          <bgColor rgb="FFFAEEDA"/>
        </patternFill>
      </fill>
    </dxf>
    <dxf>
      <font>
        <b/>
        <color rgb="FFA32D2D"/>
      </font>
      <fill>
        <patternFill>
          <bgColor rgb="FFFCEBE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08080"/>
      <rgbColor rgb="FFD3D1C7"/>
      <rgbColor rgb="FF878787"/>
      <rgbColor rgb="FF7F77DD"/>
      <rgbColor rgb="FF993366"/>
      <rgbColor rgb="FFFAEEDA"/>
      <rgbColor rgb="FFE1F5EE"/>
      <rgbColor rgb="FF660066"/>
      <rgbColor rgb="FFFF8080"/>
      <rgbColor rgb="FF185FA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F5F5F3"/>
      <rgbColor rgb="FFFCEBEB"/>
      <rgbColor rgb="FF99CCFF"/>
      <rgbColor rgb="FFFF99CC"/>
      <rgbColor rgb="FFCC99FF"/>
      <rgbColor rgb="FFF9F9F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1D9E75"/>
      <rgbColor rgb="FF0D1B2A"/>
      <rgbColor rgb="FF333300"/>
      <rgbColor rgb="FFA32D2D"/>
      <rgbColor rgb="FF993366"/>
      <rgbColor rgb="FF333399"/>
      <rgbColor rgb="FF1B2E4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Portfolio Fair Value vs Outstanding Principal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TIMESERIES!$E$39</c:f>
              <c:strCache>
                <c:ptCount val="1"/>
                <c:pt idx="0">
                  <c:v>Total Fair Value ($)</c:v>
                </c:pt>
              </c:strCache>
            </c:strRef>
          </c:tx>
          <c:spPr>
            <a:ln w="47520">
              <a:solidFill>
                <a:srgbClr val="185F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TIMESERIES!$A$40:$A$48</c:f>
              <c:strCache>
                <c:ptCount val="9"/>
                <c:pt idx="0">
                  <c:v>Q1 2023</c:v>
                </c:pt>
                <c:pt idx="1">
                  <c:v>Q2 2023</c:v>
                </c:pt>
                <c:pt idx="2">
                  <c:v>Q3 2023</c:v>
                </c:pt>
                <c:pt idx="3">
                  <c:v>Q4 2023</c:v>
                </c:pt>
                <c:pt idx="4">
                  <c:v>Q1 2024</c:v>
                </c:pt>
                <c:pt idx="5">
                  <c:v>Q2 2024</c:v>
                </c:pt>
                <c:pt idx="6">
                  <c:v>Q3 2024</c:v>
                </c:pt>
                <c:pt idx="7">
                  <c:v>Q4 2024</c:v>
                </c:pt>
                <c:pt idx="8">
                  <c:v>Q1 2026</c:v>
                </c:pt>
              </c:strCache>
            </c:strRef>
          </c:cat>
          <c:val>
            <c:numRef>
              <c:f>TIMESERIES!$E$40:$E$48</c:f>
              <c:numCache>
                <c:formatCode>\$#,##0;"($"#,##0\);\-</c:formatCode>
                <c:ptCount val="9"/>
                <c:pt idx="0">
                  <c:v>15000000</c:v>
                </c:pt>
                <c:pt idx="1">
                  <c:v>15150000</c:v>
                </c:pt>
                <c:pt idx="2">
                  <c:v>15300000</c:v>
                </c:pt>
                <c:pt idx="3">
                  <c:v>34450000</c:v>
                </c:pt>
                <c:pt idx="4">
                  <c:v>56400000</c:v>
                </c:pt>
                <c:pt idx="5">
                  <c:v>62500000</c:v>
                </c:pt>
                <c:pt idx="6">
                  <c:v>61850000</c:v>
                </c:pt>
                <c:pt idx="7">
                  <c:v>60550000</c:v>
                </c:pt>
                <c:pt idx="8">
                  <c:v>64650000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507-4061-8832-0AA546C05210}"/>
            </c:ext>
          </c:extLst>
        </c:ser>
        <c:ser>
          <c:idx val="1"/>
          <c:order val="1"/>
          <c:tx>
            <c:strRef>
              <c:f>TIMESERIES!$D$39</c:f>
              <c:strCache>
                <c:ptCount val="1"/>
                <c:pt idx="0">
                  <c:v>Total Outstanding ($)</c:v>
                </c:pt>
              </c:strCache>
            </c:strRef>
          </c:tx>
          <c:spPr>
            <a:ln w="47520">
              <a:solidFill>
                <a:srgbClr val="1D9E7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TIMESERIES!$A$40:$A$48</c:f>
              <c:strCache>
                <c:ptCount val="9"/>
                <c:pt idx="0">
                  <c:v>Q1 2023</c:v>
                </c:pt>
                <c:pt idx="1">
                  <c:v>Q2 2023</c:v>
                </c:pt>
                <c:pt idx="2">
                  <c:v>Q3 2023</c:v>
                </c:pt>
                <c:pt idx="3">
                  <c:v>Q4 2023</c:v>
                </c:pt>
                <c:pt idx="4">
                  <c:v>Q1 2024</c:v>
                </c:pt>
                <c:pt idx="5">
                  <c:v>Q2 2024</c:v>
                </c:pt>
                <c:pt idx="6">
                  <c:v>Q3 2024</c:v>
                </c:pt>
                <c:pt idx="7">
                  <c:v>Q4 2024</c:v>
                </c:pt>
                <c:pt idx="8">
                  <c:v>Q1 2026</c:v>
                </c:pt>
              </c:strCache>
            </c:strRef>
          </c:cat>
          <c:val>
            <c:numRef>
              <c:f>TIMESERIES!$D$40:$D$48</c:f>
              <c:numCache>
                <c:formatCode>\$#,##0;"($"#,##0\);\-</c:formatCode>
                <c:ptCount val="9"/>
                <c:pt idx="0">
                  <c:v>15000000</c:v>
                </c:pt>
                <c:pt idx="1">
                  <c:v>15000000</c:v>
                </c:pt>
                <c:pt idx="2">
                  <c:v>15000000</c:v>
                </c:pt>
                <c:pt idx="3">
                  <c:v>34250000</c:v>
                </c:pt>
                <c:pt idx="4">
                  <c:v>55750000</c:v>
                </c:pt>
                <c:pt idx="5">
                  <c:v>61250000</c:v>
                </c:pt>
                <c:pt idx="6">
                  <c:v>60250000</c:v>
                </c:pt>
                <c:pt idx="7">
                  <c:v>59250000</c:v>
                </c:pt>
                <c:pt idx="8">
                  <c:v>62500000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507-4061-8832-0AA546C05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8439414"/>
        <c:axId val="75372419"/>
      </c:lineChart>
      <c:catAx>
        <c:axId val="884394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372419"/>
        <c:crosses val="autoZero"/>
        <c:auto val="1"/>
        <c:lblAlgn val="ctr"/>
        <c:lblOffset val="100"/>
        <c:noMultiLvlLbl val="0"/>
      </c:catAx>
      <c:valAx>
        <c:axId val="753724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4394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Aggregate Unrealized G/L by Quarter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TIMESERIES!$F$39</c:f>
              <c:strCache>
                <c:ptCount val="1"/>
                <c:pt idx="0">
                  <c:v>Aggregate Unrealized G/L ($)</c:v>
                </c:pt>
              </c:strCache>
            </c:strRef>
          </c:tx>
          <c:spPr>
            <a:solidFill>
              <a:srgbClr val="1D9E7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TIMESERIES!$A$40:$A$48</c:f>
              <c:strCache>
                <c:ptCount val="9"/>
                <c:pt idx="0">
                  <c:v>Q1 2023</c:v>
                </c:pt>
                <c:pt idx="1">
                  <c:v>Q2 2023</c:v>
                </c:pt>
                <c:pt idx="2">
                  <c:v>Q3 2023</c:v>
                </c:pt>
                <c:pt idx="3">
                  <c:v>Q4 2023</c:v>
                </c:pt>
                <c:pt idx="4">
                  <c:v>Q1 2024</c:v>
                </c:pt>
                <c:pt idx="5">
                  <c:v>Q2 2024</c:v>
                </c:pt>
                <c:pt idx="6">
                  <c:v>Q3 2024</c:v>
                </c:pt>
                <c:pt idx="7">
                  <c:v>Q4 2024</c:v>
                </c:pt>
                <c:pt idx="8">
                  <c:v>Q1 2026</c:v>
                </c:pt>
              </c:strCache>
            </c:strRef>
          </c:cat>
          <c:val>
            <c:numRef>
              <c:f>TIMESERIES!$F$40:$F$48</c:f>
              <c:numCache>
                <c:formatCode>\$#,##0;"($"#,##0\);\-</c:formatCode>
                <c:ptCount val="9"/>
                <c:pt idx="0">
                  <c:v>0</c:v>
                </c:pt>
                <c:pt idx="1">
                  <c:v>150000</c:v>
                </c:pt>
                <c:pt idx="2">
                  <c:v>300000</c:v>
                </c:pt>
                <c:pt idx="3">
                  <c:v>200000</c:v>
                </c:pt>
                <c:pt idx="4">
                  <c:v>650000</c:v>
                </c:pt>
                <c:pt idx="5">
                  <c:v>1250000</c:v>
                </c:pt>
                <c:pt idx="6">
                  <c:v>1600000</c:v>
                </c:pt>
                <c:pt idx="7">
                  <c:v>1300000</c:v>
                </c:pt>
                <c:pt idx="8">
                  <c:v>2150000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C-4DEA-BC68-C3B889F1F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02607"/>
        <c:axId val="20937294"/>
      </c:barChart>
      <c:catAx>
        <c:axId val="553026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937294"/>
        <c:crosses val="autoZero"/>
        <c:auto val="1"/>
        <c:lblAlgn val="ctr"/>
        <c:lblOffset val="100"/>
        <c:noMultiLvlLbl val="0"/>
      </c:catAx>
      <c:valAx>
        <c:axId val="209372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3026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52</xdr:row>
      <xdr:rowOff>0</xdr:rowOff>
    </xdr:from>
    <xdr:to>
      <xdr:col>7</xdr:col>
      <xdr:colOff>307080</xdr:colOff>
      <xdr:row>74</xdr:row>
      <xdr:rowOff>130698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52</xdr:row>
      <xdr:rowOff>0</xdr:rowOff>
    </xdr:from>
    <xdr:to>
      <xdr:col>23</xdr:col>
      <xdr:colOff>71673</xdr:colOff>
      <xdr:row>74</xdr:row>
      <xdr:rowOff>130698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32D2D"/>
  </sheetPr>
  <dimension ref="A1:S30"/>
  <sheetViews>
    <sheetView zoomScaleNormal="100" workbookViewId="0">
      <pane ySplit="4" topLeftCell="A5" activePane="bottomLeft" state="frozen"/>
      <selection pane="bottomLeft" activeCell="I43" sqref="I43"/>
    </sheetView>
  </sheetViews>
  <sheetFormatPr defaultColWidth="8.6640625" defaultRowHeight="14.4" x14ac:dyDescent="0.3"/>
  <cols>
    <col min="1" max="1" width="18.5546875" bestFit="1" customWidth="1"/>
    <col min="2" max="2" width="22" customWidth="1"/>
    <col min="3" max="3" width="13" customWidth="1"/>
    <col min="4" max="4" width="15" customWidth="1"/>
    <col min="5" max="5" width="14" customWidth="1"/>
    <col min="6" max="6" width="9" customWidth="1"/>
    <col min="7" max="7" width="15" bestFit="1" customWidth="1"/>
    <col min="8" max="8" width="11" customWidth="1"/>
    <col min="9" max="9" width="8" customWidth="1"/>
    <col min="10" max="10" width="9" customWidth="1"/>
    <col min="11" max="11" width="11" customWidth="1"/>
    <col min="12" max="12" width="13" customWidth="1"/>
    <col min="13" max="13" width="9.109375" customWidth="1"/>
    <col min="14" max="19" width="8" customWidth="1"/>
  </cols>
  <sheetData>
    <row r="1" spans="1:19" ht="27.75" customHeight="1" x14ac:dyDescent="0.3">
      <c r="A1" s="4" t="s">
        <v>148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15.75" customHeight="1" x14ac:dyDescent="0.3">
      <c r="A2" s="3" t="s">
        <v>149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4" spans="1:19" x14ac:dyDescent="0.3">
      <c r="A4" s="13" t="s">
        <v>150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38" t="s">
        <v>151</v>
      </c>
      <c r="B5" s="39"/>
      <c r="C5" s="39"/>
      <c r="D5" s="39"/>
      <c r="E5" s="39"/>
      <c r="F5" s="39"/>
      <c r="G5" s="38" t="s">
        <v>152</v>
      </c>
      <c r="H5" s="39"/>
      <c r="I5" s="39"/>
      <c r="J5" s="39"/>
      <c r="K5" s="39"/>
      <c r="L5" s="39"/>
      <c r="M5" s="40" t="s">
        <v>153</v>
      </c>
      <c r="N5" s="41"/>
      <c r="O5" s="41"/>
      <c r="P5" s="41"/>
      <c r="Q5" s="41"/>
      <c r="R5" s="41"/>
    </row>
    <row r="6" spans="1:19" s="73" customFormat="1" x14ac:dyDescent="0.3">
      <c r="A6" s="69">
        <f>SUM(LOAN_DATA!K3:K7)</f>
        <v>62500000</v>
      </c>
      <c r="B6" s="70"/>
      <c r="C6" s="70"/>
      <c r="D6" s="70"/>
      <c r="E6" s="70"/>
      <c r="F6" s="70"/>
      <c r="G6" s="69">
        <f>SUM(LOAN_DATA!L3:L7)</f>
        <v>64650000</v>
      </c>
      <c r="H6" s="70"/>
      <c r="I6" s="70"/>
      <c r="J6" s="70"/>
      <c r="K6" s="70"/>
      <c r="L6" s="70"/>
      <c r="M6" s="79">
        <f>COUNTIF(LOAN_DATA!AC3:AC7,"Active")+COUNTIF(LOAN_DATA!AC3:AC7,"Extended")</f>
        <v>3</v>
      </c>
      <c r="N6" s="72"/>
      <c r="O6" s="72"/>
      <c r="P6" s="72"/>
      <c r="Q6" s="72"/>
      <c r="R6" s="72"/>
    </row>
    <row r="7" spans="1:19" x14ac:dyDescent="0.3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41"/>
      <c r="N7" s="41"/>
      <c r="O7" s="41"/>
      <c r="P7" s="41"/>
      <c r="Q7" s="41"/>
      <c r="R7" s="41"/>
    </row>
    <row r="8" spans="1:19" x14ac:dyDescent="0.3">
      <c r="A8" s="42" t="s">
        <v>154</v>
      </c>
      <c r="B8" s="43"/>
      <c r="C8" s="43"/>
      <c r="D8" s="43"/>
      <c r="E8" s="43"/>
      <c r="F8" s="43"/>
      <c r="G8" s="42" t="s">
        <v>155</v>
      </c>
      <c r="H8" s="43"/>
      <c r="I8" s="43"/>
      <c r="J8" s="43"/>
      <c r="K8" s="43"/>
      <c r="L8" s="43"/>
      <c r="M8" s="44" t="s">
        <v>156</v>
      </c>
      <c r="N8" s="45"/>
      <c r="O8" s="45"/>
      <c r="P8" s="45"/>
      <c r="Q8" s="45"/>
      <c r="R8" s="45"/>
    </row>
    <row r="9" spans="1:19" s="73" customFormat="1" x14ac:dyDescent="0.3">
      <c r="A9" s="74">
        <f>AVERAGEIF(LOAN_DATA!K3:K7,"&gt;0",LOAN_DATA!S3:S7)</f>
        <v>0.56600000000000006</v>
      </c>
      <c r="B9" s="75"/>
      <c r="C9" s="75"/>
      <c r="D9" s="75"/>
      <c r="E9" s="75"/>
      <c r="F9" s="75"/>
      <c r="G9" s="76">
        <f>AVERAGEIF(LOAN_DATA!K3:K7,"&gt;0",LOAN_DATA!T3:T7)</f>
        <v>1.6940000000000002</v>
      </c>
      <c r="H9" s="75"/>
      <c r="I9" s="75"/>
      <c r="J9" s="75"/>
      <c r="K9" s="75"/>
      <c r="L9" s="75"/>
      <c r="M9" s="77">
        <f>COUNTIF(LOAN_DATA!U3:U7,"Breach Risk")+COUNTIF(LOAN_DATA!U3:U7,"Monitoring")</f>
        <v>2</v>
      </c>
      <c r="N9" s="78"/>
      <c r="O9" s="78"/>
      <c r="P9" s="78"/>
      <c r="Q9" s="78"/>
      <c r="R9" s="78"/>
    </row>
    <row r="10" spans="1:19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5"/>
      <c r="N10" s="45"/>
      <c r="O10" s="45"/>
      <c r="P10" s="45"/>
      <c r="Q10" s="45"/>
      <c r="R10" s="45"/>
    </row>
    <row r="11" spans="1:19" x14ac:dyDescent="0.3">
      <c r="A11" s="38" t="s">
        <v>157</v>
      </c>
      <c r="B11" s="39"/>
      <c r="C11" s="39"/>
      <c r="D11" s="39"/>
      <c r="E11" s="39"/>
      <c r="F11" s="39"/>
      <c r="G11" s="40" t="s">
        <v>158</v>
      </c>
      <c r="H11" s="41"/>
      <c r="I11" s="41"/>
      <c r="J11" s="41"/>
      <c r="K11" s="41"/>
      <c r="L11" s="41"/>
      <c r="M11" s="40" t="s">
        <v>159</v>
      </c>
      <c r="N11" s="41"/>
      <c r="O11" s="41"/>
      <c r="P11" s="41"/>
      <c r="Q11" s="41"/>
      <c r="R11" s="41"/>
    </row>
    <row r="12" spans="1:19" s="73" customFormat="1" x14ac:dyDescent="0.3">
      <c r="A12" s="69">
        <f>SUM(LOAN_DATA!AJ3:AJ7)</f>
        <v>8945000</v>
      </c>
      <c r="B12" s="70"/>
      <c r="C12" s="70"/>
      <c r="D12" s="70"/>
      <c r="E12" s="70"/>
      <c r="F12" s="70"/>
      <c r="G12" s="71">
        <f>SUMPRODUCT(LOAN_DATA!K3:K7,LOAN_DATA!M3:M7)/SUM(LOAN_DATA!K3:K7)</f>
        <v>0.12776000000000001</v>
      </c>
      <c r="H12" s="72"/>
      <c r="I12" s="72"/>
      <c r="J12" s="72"/>
      <c r="K12" s="72"/>
      <c r="L12" s="72"/>
      <c r="M12" s="71">
        <f>SUMPRODUCT(LOAN_DATA!K3:K7,LOAN_DATA!AI3:AI7)/SUM(LOAN_DATA!K3:K7)</f>
        <v>0.14839733333333335</v>
      </c>
      <c r="N12" s="72"/>
      <c r="O12" s="72"/>
      <c r="P12" s="72"/>
      <c r="Q12" s="72"/>
      <c r="R12" s="72"/>
    </row>
    <row r="13" spans="1:19" x14ac:dyDescent="0.3">
      <c r="A13" s="39"/>
      <c r="B13" s="39"/>
      <c r="C13" s="39"/>
      <c r="D13" s="39"/>
      <c r="E13" s="39"/>
      <c r="F13" s="39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</row>
    <row r="15" spans="1:19" x14ac:dyDescent="0.3">
      <c r="A15" s="13" t="s">
        <v>160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3">
      <c r="A16" s="46" t="s">
        <v>5</v>
      </c>
      <c r="B16" s="46" t="s">
        <v>161</v>
      </c>
      <c r="C16" s="46" t="s">
        <v>11</v>
      </c>
      <c r="D16" s="46" t="s">
        <v>162</v>
      </c>
      <c r="E16" s="46" t="s">
        <v>163</v>
      </c>
      <c r="F16" s="46" t="s">
        <v>154</v>
      </c>
      <c r="G16" s="46" t="s">
        <v>155</v>
      </c>
      <c r="H16" s="46" t="s">
        <v>164</v>
      </c>
      <c r="I16" s="46" t="s">
        <v>165</v>
      </c>
    </row>
    <row r="17" spans="1:19" x14ac:dyDescent="0.3">
      <c r="A17" s="24" t="s">
        <v>77</v>
      </c>
      <c r="B17" s="47">
        <f>COUNTIF(LOAN_DATA!E3:E7,A17)</f>
        <v>1</v>
      </c>
      <c r="C17" s="27">
        <f>SUMIF(LOAN_DATA!E3:E7,A17,LOAN_DATA!K3:K7)</f>
        <v>11000000</v>
      </c>
      <c r="D17" s="27">
        <f>SUMIF(LOAN_DATA!E3:E7,A17,LOAN_DATA!L3:L7)</f>
        <v>11400000</v>
      </c>
      <c r="E17" s="48">
        <f>IFERROR(LOAN_DATA!L6/SUM(LOAN_DATA!L3:L7),0)</f>
        <v>0.17633410672853828</v>
      </c>
      <c r="F17" s="28">
        <f>IFERROR(AVERAGEIF(LOAN_DATA!E3:E7,A17,LOAN_DATA!S3:S7),"-")</f>
        <v>0.68</v>
      </c>
      <c r="G17" s="29">
        <f>IFERROR(AVERAGEIF(LOAN_DATA!E3:E7,A17,LOAN_DATA!T3:T7),"-")</f>
        <v>1.32</v>
      </c>
      <c r="H17" s="49">
        <v>0.2</v>
      </c>
      <c r="I17" s="50" t="str">
        <f>IF(D17/SUM(LOAN_DATA!L3:L7)*100&gt;20,"BREACH","Compliant")</f>
        <v>Compliant</v>
      </c>
    </row>
    <row r="18" spans="1:19" x14ac:dyDescent="0.3">
      <c r="A18" s="16" t="s">
        <v>89</v>
      </c>
      <c r="B18" s="51">
        <f>COUNTIF(LOAN_DATA!E3:E7,A18)</f>
        <v>1</v>
      </c>
      <c r="C18" s="19">
        <f>SUMIF(LOAN_DATA!E3:E7,A18,LOAN_DATA!K3:K7)</f>
        <v>6000000</v>
      </c>
      <c r="D18" s="19">
        <f>SUMIF(LOAN_DATA!E3:E7,A18,LOAN_DATA!L3:L7)</f>
        <v>6150000</v>
      </c>
      <c r="E18" s="52">
        <f>IFERROR(LOAN_DATA!L7/SUM(LOAN_DATA!L3:L7),0)</f>
        <v>9.5127610208816701E-2</v>
      </c>
      <c r="F18" s="20">
        <f>IFERROR(AVERAGEIF(LOAN_DATA!E3:E7,A18,LOAN_DATA!S3:S7),"-")</f>
        <v>0.5</v>
      </c>
      <c r="G18" s="21">
        <f>IFERROR(AVERAGEIF(LOAN_DATA!E3:E7,A18,LOAN_DATA!T3:T7),"-")</f>
        <v>1.95</v>
      </c>
      <c r="H18" s="49">
        <v>0.3</v>
      </c>
      <c r="I18" s="53" t="str">
        <f>IF(D18/SUM(LOAN_DATA!L3:L7)*100&gt;30,"BREACH","Compliant")</f>
        <v>Compliant</v>
      </c>
    </row>
    <row r="19" spans="1:19" x14ac:dyDescent="0.3">
      <c r="A19" s="24" t="s">
        <v>41</v>
      </c>
      <c r="B19" s="47">
        <f>COUNTIF(LOAN_DATA!E3:E7,A19)</f>
        <v>1</v>
      </c>
      <c r="C19" s="27">
        <f>SUMIF(LOAN_DATA!E3:E7,A19,LOAN_DATA!K3:K7)</f>
        <v>15000000</v>
      </c>
      <c r="D19" s="27">
        <f>SUMIF(LOAN_DATA!E3:E7,A19,LOAN_DATA!L3:L7)</f>
        <v>15800000</v>
      </c>
      <c r="E19" s="48">
        <f>IFERROR(LOAN_DATA!L3/SUM(LOAN_DATA!L3:L7),0)</f>
        <v>0.24439288476411447</v>
      </c>
      <c r="F19" s="28">
        <f>IFERROR(AVERAGEIF(LOAN_DATA!E3:E7,A19,LOAN_DATA!S3:S7),"-")</f>
        <v>0.55000000000000004</v>
      </c>
      <c r="G19" s="29">
        <f>IFERROR(AVERAGEIF(LOAN_DATA!E3:E7,A19,LOAN_DATA!T3:T7),"-")</f>
        <v>1.82</v>
      </c>
      <c r="H19" s="49">
        <v>0.3</v>
      </c>
      <c r="I19" s="50" t="str">
        <f>IF(D19/SUM(LOAN_DATA!L3:L7)*100&gt;30,"BREACH","Compliant")</f>
        <v>Compliant</v>
      </c>
    </row>
    <row r="20" spans="1:19" x14ac:dyDescent="0.3">
      <c r="A20" s="16" t="s">
        <v>55</v>
      </c>
      <c r="B20" s="51">
        <f>COUNTIF(LOAN_DATA!E3:E7,A20)</f>
        <v>1</v>
      </c>
      <c r="C20" s="19">
        <f>SUMIF(LOAN_DATA!E3:E7,A20,LOAN_DATA!K3:K7)</f>
        <v>8500000</v>
      </c>
      <c r="D20" s="19">
        <f>SUMIF(LOAN_DATA!E3:E7,A20,LOAN_DATA!L3:L7)</f>
        <v>8200000</v>
      </c>
      <c r="E20" s="52">
        <f>IFERROR(LOAN_DATA!L4/SUM(LOAN_DATA!L3:L7),0)</f>
        <v>0.12683681361175561</v>
      </c>
      <c r="F20" s="20">
        <f>IFERROR(AVERAGEIF(LOAN_DATA!E3:E7,A20,LOAN_DATA!S3:S7),"-")</f>
        <v>0.62</v>
      </c>
      <c r="G20" s="21">
        <f>IFERROR(AVERAGEIF(LOAN_DATA!E3:E7,A20,LOAN_DATA!T3:T7),"-")</f>
        <v>1.28</v>
      </c>
      <c r="H20" s="49">
        <v>0.2</v>
      </c>
      <c r="I20" s="53" t="str">
        <f>IF(D20/SUM(LOAN_DATA!L3:L7)*100&gt;20,"BREACH","Compliant")</f>
        <v>Compliant</v>
      </c>
    </row>
    <row r="21" spans="1:19" x14ac:dyDescent="0.3">
      <c r="A21" s="24" t="s">
        <v>67</v>
      </c>
      <c r="B21" s="47">
        <f>COUNTIF(LOAN_DATA!E3:E7,A21)</f>
        <v>1</v>
      </c>
      <c r="C21" s="27">
        <f>SUMIF(LOAN_DATA!E3:E7,A21,LOAN_DATA!K3:K7)</f>
        <v>22000000</v>
      </c>
      <c r="D21" s="27">
        <f>SUMIF(LOAN_DATA!E3:E7,A21,LOAN_DATA!L3:L7)</f>
        <v>23100000</v>
      </c>
      <c r="E21" s="48">
        <f>IFERROR(LOAN_DATA!L5/SUM(LOAN_DATA!L3:L7),0)</f>
        <v>0.35730858468677495</v>
      </c>
      <c r="F21" s="28">
        <f>IFERROR(AVERAGEIF(LOAN_DATA!E3:E7,A21,LOAN_DATA!S3:S7),"-")</f>
        <v>0.48</v>
      </c>
      <c r="G21" s="29">
        <f>IFERROR(AVERAGEIF(LOAN_DATA!E3:E7,A21,LOAN_DATA!T3:T7),"-")</f>
        <v>2.1</v>
      </c>
      <c r="H21" s="49">
        <v>0.3</v>
      </c>
      <c r="I21" s="50" t="str">
        <f>IF(D21/SUM(LOAN_DATA!L3:L7)*100&gt;30,"BREACH","Compliant")</f>
        <v>BREACH</v>
      </c>
    </row>
    <row r="22" spans="1:19" x14ac:dyDescent="0.3">
      <c r="A22" s="54" t="s">
        <v>166</v>
      </c>
      <c r="B22" s="55">
        <f>SUM(B17:B21)</f>
        <v>5</v>
      </c>
      <c r="C22" s="56">
        <f>SUM(C17:C21)</f>
        <v>62500000</v>
      </c>
      <c r="D22" s="56">
        <f>SUM(D17:D21)</f>
        <v>64650000</v>
      </c>
      <c r="E22" s="57">
        <f>SUM(E17:E21)</f>
        <v>1</v>
      </c>
      <c r="F22" s="58"/>
      <c r="G22" s="58"/>
      <c r="H22" s="58"/>
      <c r="I22" s="58"/>
    </row>
    <row r="23" spans="1:19" x14ac:dyDescent="0.3">
      <c r="A23">
        <f>SUM(LOAN_DATA!L3:L7)</f>
        <v>64650000</v>
      </c>
    </row>
    <row r="24" spans="1:19" x14ac:dyDescent="0.3">
      <c r="A24" s="13" t="s">
        <v>167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1:19" x14ac:dyDescent="0.3">
      <c r="A25" s="46" t="s">
        <v>1</v>
      </c>
      <c r="B25" s="46" t="s">
        <v>4</v>
      </c>
      <c r="C25" s="46" t="s">
        <v>5</v>
      </c>
      <c r="D25" s="46" t="s">
        <v>29</v>
      </c>
      <c r="E25" s="46" t="s">
        <v>21</v>
      </c>
      <c r="F25" s="46" t="s">
        <v>19</v>
      </c>
      <c r="G25" s="46" t="s">
        <v>168</v>
      </c>
      <c r="H25" s="46" t="s">
        <v>169</v>
      </c>
      <c r="I25" s="46" t="s">
        <v>20</v>
      </c>
      <c r="J25" s="46" t="s">
        <v>170</v>
      </c>
      <c r="K25" s="46" t="s">
        <v>171</v>
      </c>
      <c r="L25" s="46" t="s">
        <v>34</v>
      </c>
      <c r="M25" s="2" t="s">
        <v>172</v>
      </c>
      <c r="N25" s="2"/>
      <c r="O25" s="2"/>
      <c r="P25" s="2"/>
      <c r="Q25" s="2"/>
      <c r="R25" s="2"/>
      <c r="S25" s="2"/>
    </row>
    <row r="26" spans="1:19" x14ac:dyDescent="0.3">
      <c r="A26" s="59" t="str">
        <f>LOAN_DATA!A3</f>
        <v>PC001</v>
      </c>
      <c r="B26" s="24" t="str">
        <f>LOAN_DATA!D3</f>
        <v>Apex Manufacturing Co</v>
      </c>
      <c r="C26" s="24" t="str">
        <f>LOAN_DATA!E3</f>
        <v>Industrials</v>
      </c>
      <c r="D26" s="59" t="str">
        <f>LOAN_DATA!AC3</f>
        <v>Active</v>
      </c>
      <c r="E26" s="59" t="str">
        <f>LOAN_DATA!U3</f>
        <v>Compliant</v>
      </c>
      <c r="F26" s="28">
        <f>LOAN_DATA!S3</f>
        <v>0.55000000000000004</v>
      </c>
      <c r="G26" s="60">
        <v>0.75</v>
      </c>
      <c r="H26" s="28">
        <f>G26-F26</f>
        <v>0.19999999999999996</v>
      </c>
      <c r="I26" s="29">
        <f>LOAN_DATA!T3</f>
        <v>1.82</v>
      </c>
      <c r="J26" s="61">
        <v>1.25</v>
      </c>
      <c r="K26" s="29">
        <f>I26-J26</f>
        <v>0.57000000000000006</v>
      </c>
      <c r="L26" s="62">
        <f ca="1">IFERROR(LOAN_DATA!AH3,"")</f>
        <v>198</v>
      </c>
      <c r="M26" s="1" t="str">
        <f ca="1">IF(E26="Breach Risk","⚠ Covenant breach — waiver required",IF(E26="Monitoring","⚠ Monitoring — below revenue covenant",IF(H26&lt;0,"⚠ LTV breach",IF(K26&lt;0,"⚠ DSCR below floor",IF(L26&lt;90,"Approaching maturity","OK")))))</f>
        <v>OK</v>
      </c>
      <c r="N26" s="1"/>
      <c r="O26" s="1"/>
      <c r="P26" s="1"/>
      <c r="Q26" s="1"/>
      <c r="R26" s="1"/>
      <c r="S26" s="1"/>
    </row>
    <row r="27" spans="1:19" x14ac:dyDescent="0.3">
      <c r="A27" s="63" t="str">
        <f>LOAN_DATA!A4</f>
        <v>PC002</v>
      </c>
      <c r="B27" s="16" t="str">
        <f>LOAN_DATA!D4</f>
        <v>Sunset Retail Group</v>
      </c>
      <c r="C27" s="16" t="str">
        <f>LOAN_DATA!E4</f>
        <v>Retail</v>
      </c>
      <c r="D27" s="63" t="str">
        <f>LOAN_DATA!AC4</f>
        <v>Matured-Pending</v>
      </c>
      <c r="E27" s="63" t="str">
        <f>LOAN_DATA!U4</f>
        <v>Monitoring</v>
      </c>
      <c r="F27" s="20">
        <f>LOAN_DATA!S4</f>
        <v>0.62</v>
      </c>
      <c r="G27" s="60">
        <v>0.75</v>
      </c>
      <c r="H27" s="20">
        <f>G27-F27</f>
        <v>0.13</v>
      </c>
      <c r="I27" s="21">
        <f>LOAN_DATA!T4</f>
        <v>1.28</v>
      </c>
      <c r="J27" s="61">
        <v>1.2</v>
      </c>
      <c r="K27" s="21">
        <f>I27-J27</f>
        <v>8.0000000000000071E-2</v>
      </c>
      <c r="L27" s="23">
        <f ca="1">IFERROR(LOAN_DATA!AH4,"")</f>
        <v>-30</v>
      </c>
      <c r="M27" s="68" t="str">
        <f>IF(E27="Breach Risk","⚠ Covenant breach — waiver required",IF(E27="Monitoring","⚠ Monitoring — below revenue covenant",IF(H27&lt;0,"⚠ LTV breach",IF(K27&lt;0,"⚠ DSCR below floor",IF(L27&lt;90,"Approaching maturity","OK")))))</f>
        <v>⚠ Monitoring — below revenue covenant</v>
      </c>
      <c r="N27" s="68"/>
      <c r="O27" s="68"/>
      <c r="P27" s="68"/>
      <c r="Q27" s="68"/>
      <c r="R27" s="68"/>
      <c r="S27" s="68"/>
    </row>
    <row r="28" spans="1:19" x14ac:dyDescent="0.3">
      <c r="A28" s="59" t="str">
        <f>LOAN_DATA!A5</f>
        <v>PC003</v>
      </c>
      <c r="B28" s="24" t="str">
        <f>LOAN_DATA!D5</f>
        <v>TechCo Holdings</v>
      </c>
      <c r="C28" s="24" t="str">
        <f>LOAN_DATA!E5</f>
        <v>Technology</v>
      </c>
      <c r="D28" s="59" t="str">
        <f>LOAN_DATA!AC5</f>
        <v>Extended</v>
      </c>
      <c r="E28" s="59" t="str">
        <f>LOAN_DATA!U5</f>
        <v>Compliant</v>
      </c>
      <c r="F28" s="28">
        <f>LOAN_DATA!S5</f>
        <v>0.48</v>
      </c>
      <c r="G28" s="60">
        <v>0.65</v>
      </c>
      <c r="H28" s="28">
        <f>G28-F28</f>
        <v>0.17000000000000004</v>
      </c>
      <c r="I28" s="29">
        <f>LOAN_DATA!T5</f>
        <v>2.1</v>
      </c>
      <c r="J28" s="61">
        <v>1.25</v>
      </c>
      <c r="K28" s="29">
        <f>I28-J28</f>
        <v>0.85000000000000009</v>
      </c>
      <c r="L28" s="62">
        <f ca="1">IFERROR(LOAN_DATA!AH5,"")</f>
        <v>184</v>
      </c>
      <c r="M28" s="1" t="str">
        <f ca="1">IF(E28="Breach Risk","⚠ Covenant breach — waiver required",IF(E28="Monitoring","⚠ Monitoring — below revenue covenant",IF(H28&lt;0,"⚠ LTV breach",IF(K28&lt;0,"⚠ DSCR below floor",IF(L28&lt;90,"Approaching maturity","OK")))))</f>
        <v>OK</v>
      </c>
      <c r="N28" s="1"/>
      <c r="O28" s="1"/>
      <c r="P28" s="1"/>
      <c r="Q28" s="1"/>
      <c r="R28" s="1"/>
      <c r="S28" s="1"/>
    </row>
    <row r="29" spans="1:19" x14ac:dyDescent="0.3">
      <c r="A29" s="63" t="str">
        <f>LOAN_DATA!A6</f>
        <v>PC004</v>
      </c>
      <c r="B29" s="16" t="str">
        <f>LOAN_DATA!D6</f>
        <v>GreenEnergy GmbH</v>
      </c>
      <c r="C29" s="16" t="str">
        <f>LOAN_DATA!E6</f>
        <v>Energy</v>
      </c>
      <c r="D29" s="63" t="str">
        <f>LOAN_DATA!AC6</f>
        <v>Watch-list</v>
      </c>
      <c r="E29" s="63" t="str">
        <f>LOAN_DATA!U6</f>
        <v>Breach Risk</v>
      </c>
      <c r="F29" s="20">
        <f>LOAN_DATA!S6</f>
        <v>0.68</v>
      </c>
      <c r="G29" s="60">
        <v>0.75</v>
      </c>
      <c r="H29" s="20">
        <f>G29-F29</f>
        <v>6.9999999999999951E-2</v>
      </c>
      <c r="I29" s="21">
        <f>LOAN_DATA!T6</f>
        <v>1.32</v>
      </c>
      <c r="J29" s="61">
        <v>1.5</v>
      </c>
      <c r="K29" s="21">
        <f>I29-J29</f>
        <v>-0.17999999999999994</v>
      </c>
      <c r="L29" s="23">
        <f ca="1">IFERROR(LOAN_DATA!AH6,"")</f>
        <v>427</v>
      </c>
      <c r="M29" s="68" t="str">
        <f>IF(E29="Breach Risk","⚠ Covenant breach — waiver required",IF(E29="Monitoring","⚠ Monitoring — below revenue covenant",IF(H29&lt;0,"⚠ LTV breach",IF(K29&lt;0,"⚠ DSCR below floor",IF(L29&lt;90,"Approaching maturity","OK")))))</f>
        <v>⚠ Covenant breach — waiver required</v>
      </c>
      <c r="N29" s="68"/>
      <c r="O29" s="68"/>
      <c r="P29" s="68"/>
      <c r="Q29" s="68"/>
      <c r="R29" s="68"/>
      <c r="S29" s="68"/>
    </row>
    <row r="30" spans="1:19" x14ac:dyDescent="0.3">
      <c r="A30" s="59" t="str">
        <f>LOAN_DATA!A7</f>
        <v>PC005</v>
      </c>
      <c r="B30" s="24" t="str">
        <f>LOAN_DATA!D7</f>
        <v>MedSupply Corp</v>
      </c>
      <c r="C30" s="24" t="str">
        <f>LOAN_DATA!E7</f>
        <v>Healthcare</v>
      </c>
      <c r="D30" s="59" t="str">
        <f>LOAN_DATA!AC7</f>
        <v>Active</v>
      </c>
      <c r="E30" s="59" t="str">
        <f>LOAN_DATA!U7</f>
        <v>Compliant</v>
      </c>
      <c r="F30" s="28">
        <f>LOAN_DATA!S7</f>
        <v>0.5</v>
      </c>
      <c r="G30" s="60">
        <v>0.7</v>
      </c>
      <c r="H30" s="28">
        <f>G30-F30</f>
        <v>0.19999999999999996</v>
      </c>
      <c r="I30" s="29">
        <f>LOAN_DATA!T7</f>
        <v>1.95</v>
      </c>
      <c r="J30" s="61">
        <v>1.25</v>
      </c>
      <c r="K30" s="29">
        <f>I30-J30</f>
        <v>0.7</v>
      </c>
      <c r="L30" s="62">
        <f ca="1">IFERROR(LOAN_DATA!AH7,"")</f>
        <v>123</v>
      </c>
      <c r="M30" s="1" t="str">
        <f ca="1">IF(E30="Breach Risk","⚠ Covenant breach — waiver required",IF(E30="Monitoring","⚠ Monitoring — below revenue covenant",IF(H30&lt;0,"⚠ LTV breach",IF(K30&lt;0,"⚠ DSCR below floor",IF(L30&lt;90,"Approaching maturity","OK")))))</f>
        <v>OK</v>
      </c>
      <c r="N30" s="1"/>
      <c r="O30" s="1"/>
      <c r="P30" s="1"/>
      <c r="Q30" s="1"/>
      <c r="R30" s="1"/>
      <c r="S30" s="1"/>
    </row>
  </sheetData>
  <mergeCells count="11">
    <mergeCell ref="M30:S30"/>
    <mergeCell ref="M25:S25"/>
    <mergeCell ref="M26:S26"/>
    <mergeCell ref="M27:S27"/>
    <mergeCell ref="M28:S28"/>
    <mergeCell ref="M29:S29"/>
    <mergeCell ref="A1:S1"/>
    <mergeCell ref="A2:S2"/>
    <mergeCell ref="A4:S4"/>
    <mergeCell ref="A15:S15"/>
    <mergeCell ref="A24:S24"/>
  </mergeCells>
  <conditionalFormatting sqref="E26:E30">
    <cfRule type="cellIs" dxfId="4" priority="2" operator="equal">
      <formula>"Breach Risk"</formula>
    </cfRule>
    <cfRule type="cellIs" dxfId="3" priority="3" operator="equal">
      <formula>"Monitoring"</formula>
    </cfRule>
    <cfRule type="cellIs" dxfId="2" priority="4" operator="equal">
      <formula>"Compliant"</formula>
    </cfRule>
  </conditionalFormatting>
  <conditionalFormatting sqref="H26:H30">
    <cfRule type="cellIs" dxfId="1" priority="5" operator="lessThan">
      <formula>0</formula>
    </cfRule>
  </conditionalFormatting>
  <conditionalFormatting sqref="K26:K30">
    <cfRule type="cellIs" dxfId="0" priority="6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D9E75"/>
  </sheetPr>
  <dimension ref="A1:S27"/>
  <sheetViews>
    <sheetView zoomScaleNormal="100" workbookViewId="0">
      <pane ySplit="4" topLeftCell="A5" activePane="bottomLeft" state="frozen"/>
      <selection pane="bottomLeft" activeCell="F8" sqref="F8"/>
    </sheetView>
  </sheetViews>
  <sheetFormatPr defaultColWidth="8.6640625" defaultRowHeight="14.4" x14ac:dyDescent="0.3"/>
  <cols>
    <col min="1" max="1" width="10" customWidth="1"/>
    <col min="2" max="2" width="24" customWidth="1"/>
    <col min="3" max="3" width="13" customWidth="1"/>
    <col min="4" max="4" width="11.109375" bestFit="1" customWidth="1"/>
    <col min="5" max="5" width="13.21875" bestFit="1" customWidth="1"/>
    <col min="6" max="6" width="11.109375" bestFit="1" customWidth="1"/>
    <col min="7" max="7" width="14" customWidth="1"/>
    <col min="8" max="12" width="9" customWidth="1"/>
    <col min="13" max="13" width="16" customWidth="1"/>
    <col min="14" max="14" width="15" bestFit="1" customWidth="1"/>
    <col min="15" max="15" width="13" customWidth="1"/>
  </cols>
  <sheetData>
    <row r="1" spans="1:19" ht="27.75" customHeight="1" x14ac:dyDescent="0.3">
      <c r="A1" s="4" t="s">
        <v>173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15.75" customHeight="1" x14ac:dyDescent="0.3">
      <c r="A2" s="3" t="s">
        <v>174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4" spans="1:19" x14ac:dyDescent="0.3">
      <c r="A4" s="13" t="s">
        <v>175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9" x14ac:dyDescent="0.3">
      <c r="A5" s="46" t="s">
        <v>1</v>
      </c>
      <c r="B5" s="46" t="s">
        <v>4</v>
      </c>
      <c r="C5" s="46" t="s">
        <v>5</v>
      </c>
      <c r="D5" s="46" t="s">
        <v>6</v>
      </c>
      <c r="E5" s="46" t="s">
        <v>11</v>
      </c>
      <c r="F5" s="46" t="s">
        <v>162</v>
      </c>
      <c r="G5" s="46" t="s">
        <v>176</v>
      </c>
      <c r="H5" s="46" t="s">
        <v>19</v>
      </c>
      <c r="I5" s="46" t="s">
        <v>20</v>
      </c>
      <c r="J5" s="46" t="s">
        <v>177</v>
      </c>
      <c r="K5" s="46" t="s">
        <v>178</v>
      </c>
      <c r="L5" s="46" t="s">
        <v>35</v>
      </c>
      <c r="M5" s="46" t="s">
        <v>36</v>
      </c>
      <c r="N5" s="46" t="s">
        <v>29</v>
      </c>
      <c r="O5" s="46" t="s">
        <v>179</v>
      </c>
    </row>
    <row r="6" spans="1:19" x14ac:dyDescent="0.3">
      <c r="A6" s="59" t="str">
        <f>LOAN_DATA!A3</f>
        <v>PC001</v>
      </c>
      <c r="B6" s="24" t="str">
        <f>LOAN_DATA!D3</f>
        <v>Apex Manufacturing Co</v>
      </c>
      <c r="C6" s="24" t="str">
        <f>LOAN_DATA!E3</f>
        <v>Industrials</v>
      </c>
      <c r="D6" s="24" t="str">
        <f>LOAN_DATA!F3</f>
        <v>USA</v>
      </c>
      <c r="E6" s="27">
        <f>LOAN_DATA!K3</f>
        <v>15000000</v>
      </c>
      <c r="F6" s="27">
        <f>LOAN_DATA!L3</f>
        <v>15800000</v>
      </c>
      <c r="G6" s="48">
        <f>IFERROR(F6/SUM($F$6:$F$10),0)</f>
        <v>0.24439288476411447</v>
      </c>
      <c r="H6" s="28">
        <f>LOAN_DATA!S3</f>
        <v>0.55000000000000004</v>
      </c>
      <c r="I6" s="29">
        <f>LOAN_DATA!T3</f>
        <v>1.82</v>
      </c>
      <c r="J6" s="28">
        <f>LOAN_DATA!M3</f>
        <v>0.125</v>
      </c>
      <c r="K6" s="28">
        <f>LOAN_DATA!N3</f>
        <v>0.02</v>
      </c>
      <c r="L6" s="28">
        <f>LOAN_DATA!AI3</f>
        <v>0.15</v>
      </c>
      <c r="M6" s="27">
        <f>LOAN_DATA!AJ3</f>
        <v>2175000</v>
      </c>
      <c r="N6" s="59" t="str">
        <f>LOAN_DATA!AC3</f>
        <v>Active</v>
      </c>
      <c r="O6" s="59" t="str">
        <f>LOAN_DATA!U3</f>
        <v>Compliant</v>
      </c>
    </row>
    <row r="7" spans="1:19" x14ac:dyDescent="0.3">
      <c r="A7" s="63" t="str">
        <f>LOAN_DATA!A4</f>
        <v>PC002</v>
      </c>
      <c r="B7" s="16" t="str">
        <f>LOAN_DATA!D4</f>
        <v>Sunset Retail Group</v>
      </c>
      <c r="C7" s="16" t="str">
        <f>LOAN_DATA!E4</f>
        <v>Retail</v>
      </c>
      <c r="D7" s="16" t="str">
        <f>LOAN_DATA!F4</f>
        <v>UK</v>
      </c>
      <c r="E7" s="19">
        <f>LOAN_DATA!K4</f>
        <v>8500000</v>
      </c>
      <c r="F7" s="19">
        <f>LOAN_DATA!L4</f>
        <v>8200000</v>
      </c>
      <c r="G7" s="52">
        <f>IFERROR(F7/SUM($F$6:$F$10),0)</f>
        <v>0.12683681361175561</v>
      </c>
      <c r="H7" s="20">
        <f>LOAN_DATA!S4</f>
        <v>0.62</v>
      </c>
      <c r="I7" s="21">
        <f>LOAN_DATA!T4</f>
        <v>1.28</v>
      </c>
      <c r="J7" s="20">
        <f>LOAN_DATA!M4</f>
        <v>0.13</v>
      </c>
      <c r="K7" s="20">
        <f>LOAN_DATA!N4</f>
        <v>0</v>
      </c>
      <c r="L7" s="20">
        <f>LOAN_DATA!AI4</f>
        <v>0.13833333333333334</v>
      </c>
      <c r="M7" s="19">
        <f>LOAN_DATA!AJ4</f>
        <v>1105000</v>
      </c>
      <c r="N7" s="63" t="str">
        <f>LOAN_DATA!AC4</f>
        <v>Matured-Pending</v>
      </c>
      <c r="O7" s="63" t="str">
        <f>LOAN_DATA!U4</f>
        <v>Monitoring</v>
      </c>
    </row>
    <row r="8" spans="1:19" x14ac:dyDescent="0.3">
      <c r="A8" s="59" t="str">
        <f>LOAN_DATA!A5</f>
        <v>PC003</v>
      </c>
      <c r="B8" s="24" t="str">
        <f>LOAN_DATA!D5</f>
        <v>TechCo Holdings</v>
      </c>
      <c r="C8" s="24" t="str">
        <f>LOAN_DATA!E5</f>
        <v>Technology</v>
      </c>
      <c r="D8" s="24" t="str">
        <f>LOAN_DATA!F5</f>
        <v>USA</v>
      </c>
      <c r="E8" s="27">
        <f>LOAN_DATA!K5</f>
        <v>22000000</v>
      </c>
      <c r="F8" s="27">
        <f>LOAN_DATA!L5</f>
        <v>23100000</v>
      </c>
      <c r="G8" s="48">
        <f>IFERROR(F8/SUM($F$6:$F$10),0)</f>
        <v>0.35730858468677495</v>
      </c>
      <c r="H8" s="28">
        <f>LOAN_DATA!S5</f>
        <v>0.48</v>
      </c>
      <c r="I8" s="29">
        <f>LOAN_DATA!T5</f>
        <v>2.1</v>
      </c>
      <c r="J8" s="28">
        <f>LOAN_DATA!M5</f>
        <v>0.14000000000000001</v>
      </c>
      <c r="K8" s="28">
        <f>LOAN_DATA!N5</f>
        <v>0.03</v>
      </c>
      <c r="L8" s="28">
        <f>LOAN_DATA!AI5</f>
        <v>0.17500000000000002</v>
      </c>
      <c r="M8" s="27">
        <f>LOAN_DATA!AJ5</f>
        <v>3740000.0000000005</v>
      </c>
      <c r="N8" s="59" t="str">
        <f>LOAN_DATA!AC5</f>
        <v>Extended</v>
      </c>
      <c r="O8" s="59" t="str">
        <f>LOAN_DATA!U5</f>
        <v>Compliant</v>
      </c>
    </row>
    <row r="9" spans="1:19" x14ac:dyDescent="0.3">
      <c r="A9" s="63" t="str">
        <f>LOAN_DATA!A6</f>
        <v>PC004</v>
      </c>
      <c r="B9" s="16" t="str">
        <f>LOAN_DATA!D6</f>
        <v>GreenEnergy GmbH</v>
      </c>
      <c r="C9" s="16" t="str">
        <f>LOAN_DATA!E6</f>
        <v>Energy</v>
      </c>
      <c r="D9" s="16" t="str">
        <f>LOAN_DATA!F6</f>
        <v>Germany</v>
      </c>
      <c r="E9" s="19">
        <f>LOAN_DATA!K6</f>
        <v>11000000</v>
      </c>
      <c r="F9" s="19">
        <f>LOAN_DATA!L6</f>
        <v>11400000</v>
      </c>
      <c r="G9" s="52">
        <f>IFERROR(F9/SUM($F$6:$F$10),0)</f>
        <v>0.17633410672853828</v>
      </c>
      <c r="H9" s="20">
        <f>LOAN_DATA!S6</f>
        <v>0.68</v>
      </c>
      <c r="I9" s="21">
        <f>LOAN_DATA!T6</f>
        <v>1.32</v>
      </c>
      <c r="J9" s="20">
        <f>LOAN_DATA!M6</f>
        <v>0.115</v>
      </c>
      <c r="K9" s="20">
        <f>LOAN_DATA!N6</f>
        <v>0</v>
      </c>
      <c r="L9" s="20">
        <f>LOAN_DATA!AI6</f>
        <v>0.11900000000000001</v>
      </c>
      <c r="M9" s="19">
        <f>LOAN_DATA!AJ6</f>
        <v>1265000</v>
      </c>
      <c r="N9" s="63" t="str">
        <f>LOAN_DATA!AC6</f>
        <v>Watch-list</v>
      </c>
      <c r="O9" s="63" t="str">
        <f>LOAN_DATA!U6</f>
        <v>Breach Risk</v>
      </c>
    </row>
    <row r="10" spans="1:19" x14ac:dyDescent="0.3">
      <c r="A10" s="59" t="str">
        <f>LOAN_DATA!A7</f>
        <v>PC005</v>
      </c>
      <c r="B10" s="24" t="str">
        <f>LOAN_DATA!D7</f>
        <v>MedSupply Corp</v>
      </c>
      <c r="C10" s="24" t="str">
        <f>LOAN_DATA!E7</f>
        <v>Healthcare</v>
      </c>
      <c r="D10" s="24" t="str">
        <f>LOAN_DATA!F7</f>
        <v>Canada</v>
      </c>
      <c r="E10" s="27">
        <f>LOAN_DATA!K7</f>
        <v>6000000</v>
      </c>
      <c r="F10" s="27">
        <f>LOAN_DATA!L7</f>
        <v>6150000</v>
      </c>
      <c r="G10" s="48">
        <f>IFERROR(F10/SUM($F$6:$F$10),0)</f>
        <v>9.5127610208816701E-2</v>
      </c>
      <c r="H10" s="28">
        <f>LOAN_DATA!S7</f>
        <v>0.5</v>
      </c>
      <c r="I10" s="29">
        <f>LOAN_DATA!T7</f>
        <v>1.95</v>
      </c>
      <c r="J10" s="28">
        <f>LOAN_DATA!M7</f>
        <v>0.11</v>
      </c>
      <c r="K10" s="28">
        <f>LOAN_DATA!N7</f>
        <v>0</v>
      </c>
      <c r="L10" s="28">
        <f>LOAN_DATA!AI7</f>
        <v>0.115</v>
      </c>
      <c r="M10" s="27">
        <f>LOAN_DATA!AJ7</f>
        <v>660000</v>
      </c>
      <c r="N10" s="59" t="str">
        <f>LOAN_DATA!AC7</f>
        <v>Active</v>
      </c>
      <c r="O10" s="59" t="str">
        <f>LOAN_DATA!U7</f>
        <v>Compliant</v>
      </c>
    </row>
    <row r="11" spans="1:19" x14ac:dyDescent="0.3">
      <c r="A11" s="54" t="s">
        <v>180</v>
      </c>
      <c r="B11" s="58"/>
      <c r="C11" s="58"/>
      <c r="D11" s="58"/>
      <c r="E11" s="56">
        <f>SUM(E6:E10)</f>
        <v>62500000</v>
      </c>
      <c r="F11" s="56">
        <f>SUM(F6:F10)</f>
        <v>64650000</v>
      </c>
      <c r="G11" s="57">
        <f>SUM(G6:G10)</f>
        <v>0.99999999999999989</v>
      </c>
      <c r="H11" s="64">
        <f>SUMPRODUCT(E6:E10,H6:H10)/SUM(E6:E10)</f>
        <v>0.55296000000000001</v>
      </c>
      <c r="I11" s="65">
        <f>SUMPRODUCT(E6:E10,I6:I10)/SUM(E6:E10)</f>
        <v>1.7696000000000001</v>
      </c>
      <c r="J11" s="64">
        <f>SUMPRODUCT(E6:E10,J6:J10)/SUM(E6:E10)</f>
        <v>0.12776000000000001</v>
      </c>
      <c r="K11" s="58"/>
      <c r="L11" s="64">
        <f>SUMPRODUCT(E6:E10,L6:L10)/SUM(E6:E10)</f>
        <v>0.14839733333333335</v>
      </c>
      <c r="M11" s="56">
        <f>SUM(M6:M10)</f>
        <v>8945000</v>
      </c>
      <c r="N11" s="58"/>
      <c r="O11" s="58"/>
    </row>
    <row r="13" spans="1:19" x14ac:dyDescent="0.3">
      <c r="A13" s="13" t="s">
        <v>181</v>
      </c>
      <c r="B13" s="13"/>
      <c r="C13" s="13"/>
      <c r="D13" s="13"/>
      <c r="E13" s="13"/>
      <c r="F13" s="13"/>
      <c r="G13" s="13"/>
      <c r="H13" s="13"/>
    </row>
    <row r="14" spans="1:19" x14ac:dyDescent="0.3">
      <c r="A14" s="46" t="s">
        <v>6</v>
      </c>
      <c r="B14" s="46" t="s">
        <v>161</v>
      </c>
      <c r="C14" s="46" t="s">
        <v>11</v>
      </c>
      <c r="D14" s="46" t="s">
        <v>162</v>
      </c>
      <c r="E14" s="46" t="s">
        <v>182</v>
      </c>
      <c r="F14" s="46" t="s">
        <v>154</v>
      </c>
      <c r="G14" s="46" t="s">
        <v>155</v>
      </c>
      <c r="H14" s="46" t="s">
        <v>183</v>
      </c>
    </row>
    <row r="15" spans="1:19" x14ac:dyDescent="0.3">
      <c r="A15" s="24" t="s">
        <v>42</v>
      </c>
      <c r="B15" s="47">
        <f>COUNTIF(LOAN_DATA!F3:F7,A15)</f>
        <v>2</v>
      </c>
      <c r="C15" s="27">
        <f>SUMIF(LOAN_DATA!F3:F7,A15,LOAN_DATA!K3:K7)</f>
        <v>37000000</v>
      </c>
      <c r="D15" s="27">
        <f>SUMIF(LOAN_DATA!F3:F7,A15,LOAN_DATA!L3:L7)</f>
        <v>38900000</v>
      </c>
      <c r="E15" s="48">
        <f>IFERROR(D15/SUM(LOAN_DATA!L3:L7),0)</f>
        <v>0.60170146945088943</v>
      </c>
      <c r="F15" s="28">
        <f>IFERROR(AVERAGEIF(LOAN_DATA!F3:F7,A15,LOAN_DATA!S3:S7),"-")</f>
        <v>0.51500000000000001</v>
      </c>
      <c r="G15" s="29">
        <f>IFERROR(AVERAGEIF(LOAN_DATA!F3:F7,A15,LOAN_DATA!T3:T7),"-")</f>
        <v>1.96</v>
      </c>
      <c r="H15" s="59" t="s">
        <v>115</v>
      </c>
    </row>
    <row r="16" spans="1:19" x14ac:dyDescent="0.3">
      <c r="A16" s="16" t="s">
        <v>56</v>
      </c>
      <c r="B16" s="51">
        <f>COUNTIF(LOAN_DATA!F3:F7,A16)</f>
        <v>1</v>
      </c>
      <c r="C16" s="19">
        <f>SUMIF(LOAN_DATA!F3:F7,A16,LOAN_DATA!K3:K7)</f>
        <v>8500000</v>
      </c>
      <c r="D16" s="19">
        <f>SUMIF(LOAN_DATA!F3:F7,A16,LOAN_DATA!L3:L7)</f>
        <v>8200000</v>
      </c>
      <c r="E16" s="52">
        <f>IFERROR(D16/SUM(LOAN_DATA!L3:L7),0)</f>
        <v>0.12683681361175561</v>
      </c>
      <c r="F16" s="20">
        <f>IFERROR(AVERAGEIF(LOAN_DATA!F3:F7,A16,LOAN_DATA!S3:S7),"-")</f>
        <v>0.62</v>
      </c>
      <c r="G16" s="21">
        <f>IFERROR(AVERAGEIF(LOAN_DATA!F3:F7,A16,LOAN_DATA!T3:T7),"-")</f>
        <v>1.28</v>
      </c>
      <c r="H16" s="63" t="s">
        <v>184</v>
      </c>
    </row>
    <row r="17" spans="1:8" x14ac:dyDescent="0.3">
      <c r="A17" s="24" t="s">
        <v>78</v>
      </c>
      <c r="B17" s="47">
        <f>COUNTIF(LOAN_DATA!F3:F7,A17)</f>
        <v>1</v>
      </c>
      <c r="C17" s="27">
        <f>SUMIF(LOAN_DATA!F3:F7,A17,LOAN_DATA!K3:K7)</f>
        <v>11000000</v>
      </c>
      <c r="D17" s="27">
        <f>SUMIF(LOAN_DATA!F3:F7,A17,LOAN_DATA!L3:L7)</f>
        <v>11400000</v>
      </c>
      <c r="E17" s="48">
        <f>IFERROR(D17/SUM(LOAN_DATA!L3:L7),0)</f>
        <v>0.17633410672853828</v>
      </c>
      <c r="F17" s="28">
        <f>IFERROR(AVERAGEIF(LOAN_DATA!F3:F7,A17,LOAN_DATA!S3:S7),"-")</f>
        <v>0.68</v>
      </c>
      <c r="G17" s="29">
        <f>IFERROR(AVERAGEIF(LOAN_DATA!F3:F7,A17,LOAN_DATA!T3:T7),"-")</f>
        <v>1.32</v>
      </c>
      <c r="H17" s="59" t="s">
        <v>185</v>
      </c>
    </row>
    <row r="18" spans="1:8" x14ac:dyDescent="0.3">
      <c r="A18" s="16" t="s">
        <v>90</v>
      </c>
      <c r="B18" s="51">
        <f>COUNTIF(LOAN_DATA!F3:F7,A18)</f>
        <v>1</v>
      </c>
      <c r="C18" s="19">
        <f>SUMIF(LOAN_DATA!F3:F7,A18,LOAN_DATA!K3:K7)</f>
        <v>6000000</v>
      </c>
      <c r="D18" s="19">
        <f>SUMIF(LOAN_DATA!F3:F7,A18,LOAN_DATA!L3:L7)</f>
        <v>6150000</v>
      </c>
      <c r="E18" s="52">
        <f>IFERROR(D18/SUM(LOAN_DATA!L3:L7),0)</f>
        <v>9.5127610208816701E-2</v>
      </c>
      <c r="F18" s="20">
        <f>IFERROR(AVERAGEIF(LOAN_DATA!F3:F7,A18,LOAN_DATA!S3:S7),"-")</f>
        <v>0.5</v>
      </c>
      <c r="G18" s="21">
        <f>IFERROR(AVERAGEIF(LOAN_DATA!F3:F7,A18,LOAN_DATA!T3:T7),"-")</f>
        <v>1.95</v>
      </c>
      <c r="H18" s="63" t="s">
        <v>186</v>
      </c>
    </row>
    <row r="19" spans="1:8" x14ac:dyDescent="0.3">
      <c r="A19" s="54" t="s">
        <v>166</v>
      </c>
      <c r="B19" s="55">
        <f>SUM(B15:B18)</f>
        <v>5</v>
      </c>
      <c r="C19" s="56">
        <f>SUM(C15:C18)</f>
        <v>62500000</v>
      </c>
      <c r="D19" s="56">
        <f>SUM(D15:D18)</f>
        <v>64650000</v>
      </c>
      <c r="E19" s="57">
        <f>SUM(E15:E18)</f>
        <v>0.99999999999999989</v>
      </c>
      <c r="F19" s="58"/>
      <c r="G19" s="58"/>
      <c r="H19" s="58"/>
    </row>
    <row r="21" spans="1:8" x14ac:dyDescent="0.3">
      <c r="A21" s="13" t="s">
        <v>187</v>
      </c>
      <c r="B21" s="13"/>
      <c r="C21" s="13"/>
      <c r="D21" s="13"/>
      <c r="E21" s="13"/>
      <c r="F21" s="13"/>
      <c r="G21" s="13"/>
      <c r="H21" s="13"/>
    </row>
    <row r="22" spans="1:8" x14ac:dyDescent="0.3">
      <c r="A22" s="46" t="s">
        <v>4</v>
      </c>
      <c r="B22" s="46" t="s">
        <v>22</v>
      </c>
      <c r="C22" s="46" t="s">
        <v>23</v>
      </c>
      <c r="D22" s="46" t="s">
        <v>11</v>
      </c>
      <c r="E22" s="46" t="s">
        <v>188</v>
      </c>
      <c r="F22" s="46" t="s">
        <v>19</v>
      </c>
      <c r="G22" s="46" t="s">
        <v>189</v>
      </c>
      <c r="H22" s="46" t="s">
        <v>190</v>
      </c>
    </row>
    <row r="23" spans="1:8" x14ac:dyDescent="0.3">
      <c r="A23" s="24" t="str">
        <f>LOAN_DATA!D3</f>
        <v>Apex Manufacturing Co</v>
      </c>
      <c r="B23" s="24" t="str">
        <f>LOAN_DATA!V3</f>
        <v>Plant &amp; Machinery</v>
      </c>
      <c r="C23" s="27">
        <f>LOAN_DATA!W3</f>
        <v>18500000</v>
      </c>
      <c r="D23" s="27">
        <f>LOAN_DATA!K3</f>
        <v>15000000</v>
      </c>
      <c r="E23" s="29">
        <f>IFERROR(C23/D23,0)</f>
        <v>1.2333333333333334</v>
      </c>
      <c r="F23" s="28">
        <f>LOAN_DATA!S3</f>
        <v>0.55000000000000004</v>
      </c>
      <c r="G23" s="27">
        <f>C23-D23</f>
        <v>3500000</v>
      </c>
      <c r="H23" s="59" t="str">
        <f>IF(E23&gt;=2,"Strong",IF(E23&gt;=1.5,"Adequate",IF(E23&gt;=1,"Thin","Under-collateralised")))</f>
        <v>Thin</v>
      </c>
    </row>
    <row r="24" spans="1:8" x14ac:dyDescent="0.3">
      <c r="A24" s="16" t="str">
        <f>LOAN_DATA!D4</f>
        <v>Sunset Retail Group</v>
      </c>
      <c r="B24" s="16" t="str">
        <f>LOAN_DATA!V4</f>
        <v>Receivables &amp; Inventory</v>
      </c>
      <c r="C24" s="19">
        <f>LOAN_DATA!W4</f>
        <v>11200000</v>
      </c>
      <c r="D24" s="19">
        <f>LOAN_DATA!K4</f>
        <v>8500000</v>
      </c>
      <c r="E24" s="21">
        <f>IFERROR(C24/D24,0)</f>
        <v>1.3176470588235294</v>
      </c>
      <c r="F24" s="20">
        <f>LOAN_DATA!S4</f>
        <v>0.62</v>
      </c>
      <c r="G24" s="19">
        <f>C24-D24</f>
        <v>2700000</v>
      </c>
      <c r="H24" s="63" t="str">
        <f>IF(E24&gt;=2,"Strong",IF(E24&gt;=1.5,"Adequate",IF(E24&gt;=1,"Thin","Under-collateralised")))</f>
        <v>Thin</v>
      </c>
    </row>
    <row r="25" spans="1:8" x14ac:dyDescent="0.3">
      <c r="A25" s="24" t="str">
        <f>LOAN_DATA!D5</f>
        <v>TechCo Holdings</v>
      </c>
      <c r="B25" s="24" t="str">
        <f>LOAN_DATA!V5</f>
        <v>IP &amp; Software</v>
      </c>
      <c r="C25" s="27">
        <f>LOAN_DATA!W5</f>
        <v>32000000</v>
      </c>
      <c r="D25" s="27">
        <f>LOAN_DATA!K5</f>
        <v>22000000</v>
      </c>
      <c r="E25" s="29">
        <f>IFERROR(C25/D25,0)</f>
        <v>1.4545454545454546</v>
      </c>
      <c r="F25" s="28">
        <f>LOAN_DATA!S5</f>
        <v>0.48</v>
      </c>
      <c r="G25" s="27">
        <f>C25-D25</f>
        <v>10000000</v>
      </c>
      <c r="H25" s="59" t="str">
        <f>IF(E25&gt;=2,"Strong",IF(E25&gt;=1.5,"Adequate",IF(E25&gt;=1,"Thin","Under-collateralised")))</f>
        <v>Thin</v>
      </c>
    </row>
    <row r="26" spans="1:8" x14ac:dyDescent="0.3">
      <c r="A26" s="16" t="str">
        <f>LOAN_DATA!D6</f>
        <v>GreenEnergy GmbH</v>
      </c>
      <c r="B26" s="16" t="str">
        <f>LOAN_DATA!V6</f>
        <v>Real Assets</v>
      </c>
      <c r="C26" s="19">
        <f>LOAN_DATA!W6</f>
        <v>14800000</v>
      </c>
      <c r="D26" s="19">
        <f>LOAN_DATA!K6</f>
        <v>11000000</v>
      </c>
      <c r="E26" s="21">
        <f>IFERROR(C26/D26,0)</f>
        <v>1.3454545454545455</v>
      </c>
      <c r="F26" s="20">
        <f>LOAN_DATA!S6</f>
        <v>0.68</v>
      </c>
      <c r="G26" s="19">
        <f>C26-D26</f>
        <v>3800000</v>
      </c>
      <c r="H26" s="63" t="str">
        <f>IF(E26&gt;=2,"Strong",IF(E26&gt;=1.5,"Adequate",IF(E26&gt;=1,"Thin","Under-collateralised")))</f>
        <v>Thin</v>
      </c>
    </row>
    <row r="27" spans="1:8" x14ac:dyDescent="0.3">
      <c r="A27" s="24" t="str">
        <f>LOAN_DATA!D7</f>
        <v>MedSupply Corp</v>
      </c>
      <c r="B27" s="24" t="str">
        <f>LOAN_DATA!V7</f>
        <v>Receivables</v>
      </c>
      <c r="C27" s="27">
        <f>LOAN_DATA!W7</f>
        <v>9200000</v>
      </c>
      <c r="D27" s="27">
        <f>LOAN_DATA!K7</f>
        <v>6000000</v>
      </c>
      <c r="E27" s="29">
        <f>IFERROR(C27/D27,0)</f>
        <v>1.5333333333333334</v>
      </c>
      <c r="F27" s="28">
        <f>LOAN_DATA!S7</f>
        <v>0.5</v>
      </c>
      <c r="G27" s="27">
        <f>C27-D27</f>
        <v>3200000</v>
      </c>
      <c r="H27" s="59" t="str">
        <f>IF(E27&gt;=2,"Strong",IF(E27&gt;=1.5,"Adequate",IF(E27&gt;=1,"Thin","Under-collateralised")))</f>
        <v>Adequate</v>
      </c>
    </row>
  </sheetData>
  <mergeCells count="5">
    <mergeCell ref="A1:S1"/>
    <mergeCell ref="A2:S2"/>
    <mergeCell ref="A4:O4"/>
    <mergeCell ref="A13:H13"/>
    <mergeCell ref="A21:H21"/>
  </mergeCells>
  <conditionalFormatting sqref="G6:G10">
    <cfRule type="dataBar" priority="2">
      <dataBar>
        <cfvo type="num" val="0"/>
        <cfvo type="num" val="1"/>
        <color rgb="FF185FA5"/>
      </dataBar>
      <extLst>
        <ext xmlns:x14="http://schemas.microsoft.com/office/spreadsheetml/2009/9/main" uri="{B025F937-C7B1-47D3-B67F-A62EFF666E3E}">
          <x14:id>{3093CB8D-EC24-4090-B148-7BC0A9CBF55A}</x14:id>
        </ext>
      </extLst>
    </cfRule>
  </conditionalFormatting>
  <conditionalFormatting sqref="G23:G27">
    <cfRule type="colorScale" priority="3">
      <colorScale>
        <cfvo type="min"/>
        <cfvo type="num" val="0"/>
        <cfvo type="max"/>
        <color rgb="FFFCEBEB"/>
        <color rgb="FFFAEEDA"/>
        <color rgb="FFE1F5EE"/>
      </colorScale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93CB8D-EC24-4090-B148-7BC0A9CBF55A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185FA5"/>
            </x14:dataBar>
          </x14:cfRule>
          <xm:sqref>G6:G10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E45"/>
  </sheetPr>
  <dimension ref="A1:AN20"/>
  <sheetViews>
    <sheetView zoomScaleNormal="100" workbookViewId="0">
      <pane ySplit="2" topLeftCell="A3" activePane="bottomLeft" state="frozen"/>
      <selection pane="bottomLeft" activeCell="H6" sqref="H6"/>
    </sheetView>
  </sheetViews>
  <sheetFormatPr defaultColWidth="8.6640625" defaultRowHeight="14.4" x14ac:dyDescent="0.3"/>
  <cols>
    <col min="1" max="1" width="10" customWidth="1"/>
    <col min="2" max="2" width="26" customWidth="1"/>
    <col min="3" max="4" width="22" customWidth="1"/>
    <col min="5" max="5" width="13" customWidth="1"/>
    <col min="6" max="6" width="10" customWidth="1"/>
    <col min="7" max="8" width="14" customWidth="1"/>
    <col min="9" max="10" width="10" customWidth="1"/>
    <col min="11" max="12" width="16" customWidth="1"/>
    <col min="13" max="13" width="11" customWidth="1"/>
    <col min="14" max="16" width="10" customWidth="1"/>
    <col min="17" max="17" width="13" customWidth="1"/>
    <col min="18" max="18" width="14" customWidth="1"/>
    <col min="19" max="20" width="8" customWidth="1"/>
    <col min="21" max="21" width="14" customWidth="1"/>
    <col min="22" max="22" width="18" customWidth="1"/>
    <col min="23" max="23" width="16" customWidth="1"/>
    <col min="24" max="26" width="18" customWidth="1"/>
    <col min="27" max="27" width="13" customWidth="1"/>
    <col min="28" max="28" width="15" customWidth="1"/>
    <col min="29" max="29" width="16" customWidth="1"/>
    <col min="30" max="31" width="13" customWidth="1"/>
    <col min="32" max="32" width="16" customWidth="1"/>
    <col min="33" max="33" width="18" customWidth="1"/>
    <col min="34" max="34" width="14" customWidth="1"/>
    <col min="35" max="35" width="12" customWidth="1"/>
    <col min="36" max="36" width="14" customWidth="1"/>
  </cols>
  <sheetData>
    <row r="1" spans="1:40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</row>
    <row r="2" spans="1:40" ht="30" customHeight="1" x14ac:dyDescent="0.3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5" t="s">
        <v>14</v>
      </c>
      <c r="O2" s="15" t="s">
        <v>15</v>
      </c>
      <c r="P2" s="15" t="s">
        <v>16</v>
      </c>
      <c r="Q2" s="15" t="s">
        <v>17</v>
      </c>
      <c r="R2" s="15" t="s">
        <v>18</v>
      </c>
      <c r="S2" s="15" t="s">
        <v>19</v>
      </c>
      <c r="T2" s="15" t="s">
        <v>20</v>
      </c>
      <c r="U2" s="15" t="s">
        <v>21</v>
      </c>
      <c r="V2" s="15" t="s">
        <v>22</v>
      </c>
      <c r="W2" s="15" t="s">
        <v>23</v>
      </c>
      <c r="X2" s="15" t="s">
        <v>24</v>
      </c>
      <c r="Y2" s="15" t="s">
        <v>25</v>
      </c>
      <c r="Z2" s="15" t="s">
        <v>26</v>
      </c>
      <c r="AA2" s="15" t="s">
        <v>27</v>
      </c>
      <c r="AB2" s="15" t="s">
        <v>28</v>
      </c>
      <c r="AC2" s="15" t="s">
        <v>29</v>
      </c>
      <c r="AD2" s="15" t="s">
        <v>30</v>
      </c>
      <c r="AE2" s="15" t="s">
        <v>31</v>
      </c>
      <c r="AF2" s="15" t="s">
        <v>32</v>
      </c>
      <c r="AG2" s="15" t="s">
        <v>33</v>
      </c>
      <c r="AH2" s="15" t="s">
        <v>34</v>
      </c>
      <c r="AI2" s="15" t="s">
        <v>35</v>
      </c>
      <c r="AJ2" s="15" t="s">
        <v>36</v>
      </c>
    </row>
    <row r="3" spans="1:40" x14ac:dyDescent="0.3">
      <c r="A3" s="16" t="s">
        <v>37</v>
      </c>
      <c r="B3" s="16" t="s">
        <v>38</v>
      </c>
      <c r="C3" s="16" t="s">
        <v>39</v>
      </c>
      <c r="D3" s="16" t="s">
        <v>40</v>
      </c>
      <c r="E3" s="16" t="s">
        <v>41</v>
      </c>
      <c r="F3" s="16" t="s">
        <v>42</v>
      </c>
      <c r="G3" s="17" t="s">
        <v>43</v>
      </c>
      <c r="H3" s="17" t="s">
        <v>44</v>
      </c>
      <c r="I3" s="18">
        <v>48</v>
      </c>
      <c r="J3" s="18">
        <v>12</v>
      </c>
      <c r="K3" s="19">
        <v>15000000</v>
      </c>
      <c r="L3" s="19">
        <v>15800000</v>
      </c>
      <c r="M3" s="20">
        <v>0.125</v>
      </c>
      <c r="N3" s="20">
        <v>0.02</v>
      </c>
      <c r="O3" s="20">
        <v>0.02</v>
      </c>
      <c r="P3" s="20">
        <v>2.5000000000000001E-2</v>
      </c>
      <c r="Q3" s="16" t="s">
        <v>45</v>
      </c>
      <c r="R3" s="16" t="s">
        <v>46</v>
      </c>
      <c r="S3" s="20">
        <v>0.55000000000000004</v>
      </c>
      <c r="T3" s="21">
        <v>1.82</v>
      </c>
      <c r="U3" s="22" t="s">
        <v>47</v>
      </c>
      <c r="V3" s="16" t="s">
        <v>48</v>
      </c>
      <c r="W3" s="19">
        <v>18500000</v>
      </c>
      <c r="X3" s="19">
        <v>82000000</v>
      </c>
      <c r="Y3" s="19">
        <v>14500000</v>
      </c>
      <c r="Z3" s="19">
        <v>16200000</v>
      </c>
      <c r="AA3" s="21">
        <v>1.1200000000000001</v>
      </c>
      <c r="AB3" s="21">
        <v>2.1800000000000002</v>
      </c>
      <c r="AC3" s="22" t="s">
        <v>49</v>
      </c>
      <c r="AD3" s="17" t="s">
        <v>50</v>
      </c>
      <c r="AE3" s="17" t="s">
        <v>51</v>
      </c>
      <c r="AF3" s="19">
        <v>2175000</v>
      </c>
      <c r="AG3" s="19">
        <v>3750000</v>
      </c>
      <c r="AH3" s="23">
        <f ca="1">IFERROR(H3-TODAY(),"")</f>
        <v>198</v>
      </c>
      <c r="AI3" s="20">
        <f>IFERROR(M3+N3+O3/I3*12,"")</f>
        <v>0.15</v>
      </c>
      <c r="AJ3" s="19">
        <f>IFERROR(K3*(M3+N3),"")</f>
        <v>2175000</v>
      </c>
    </row>
    <row r="4" spans="1:40" x14ac:dyDescent="0.3">
      <c r="A4" s="24" t="s">
        <v>52</v>
      </c>
      <c r="B4" s="24" t="s">
        <v>53</v>
      </c>
      <c r="C4" s="24" t="s">
        <v>39</v>
      </c>
      <c r="D4" s="24" t="s">
        <v>54</v>
      </c>
      <c r="E4" s="24" t="s">
        <v>55</v>
      </c>
      <c r="F4" s="24" t="s">
        <v>56</v>
      </c>
      <c r="G4" s="25" t="s">
        <v>57</v>
      </c>
      <c r="H4" s="25" t="s">
        <v>58</v>
      </c>
      <c r="I4" s="26">
        <v>36</v>
      </c>
      <c r="J4" s="26">
        <v>6</v>
      </c>
      <c r="K4" s="27">
        <v>8500000</v>
      </c>
      <c r="L4" s="27">
        <v>8200000</v>
      </c>
      <c r="M4" s="28">
        <v>0.13</v>
      </c>
      <c r="N4" s="28">
        <v>0</v>
      </c>
      <c r="O4" s="28">
        <v>2.5000000000000001E-2</v>
      </c>
      <c r="P4" s="28">
        <v>0.03</v>
      </c>
      <c r="Q4" s="24" t="s">
        <v>45</v>
      </c>
      <c r="R4" s="24" t="s">
        <v>59</v>
      </c>
      <c r="S4" s="28">
        <v>0.62</v>
      </c>
      <c r="T4" s="29">
        <v>1.28</v>
      </c>
      <c r="U4" s="30" t="s">
        <v>60</v>
      </c>
      <c r="V4" s="24" t="s">
        <v>61</v>
      </c>
      <c r="W4" s="27">
        <v>11200000</v>
      </c>
      <c r="X4" s="27">
        <v>16400000</v>
      </c>
      <c r="Y4" s="27">
        <v>3100000</v>
      </c>
      <c r="Z4" s="27">
        <v>9200000</v>
      </c>
      <c r="AA4" s="29">
        <v>2.97</v>
      </c>
      <c r="AB4" s="29">
        <v>1.19</v>
      </c>
      <c r="AC4" s="31" t="s">
        <v>62</v>
      </c>
      <c r="AD4" s="25" t="s">
        <v>63</v>
      </c>
      <c r="AE4" s="25"/>
      <c r="AF4" s="27">
        <v>3315000</v>
      </c>
      <c r="AG4" s="27">
        <v>7083333</v>
      </c>
      <c r="AH4" s="23">
        <f ca="1">IFERROR(H4-TODAY(),"")</f>
        <v>-30</v>
      </c>
      <c r="AI4" s="20">
        <f>IFERROR(M4+N4+O4/I4*12,"")</f>
        <v>0.13833333333333334</v>
      </c>
      <c r="AJ4" s="19">
        <f>IFERROR(K4*(M4+N4),"")</f>
        <v>1105000</v>
      </c>
    </row>
    <row r="5" spans="1:40" x14ac:dyDescent="0.3">
      <c r="A5" s="16" t="s">
        <v>64</v>
      </c>
      <c r="B5" s="16" t="s">
        <v>65</v>
      </c>
      <c r="C5" s="16" t="s">
        <v>39</v>
      </c>
      <c r="D5" s="16" t="s">
        <v>66</v>
      </c>
      <c r="E5" s="16" t="s">
        <v>67</v>
      </c>
      <c r="F5" s="16" t="s">
        <v>42</v>
      </c>
      <c r="G5" s="17" t="s">
        <v>68</v>
      </c>
      <c r="H5" s="17" t="s">
        <v>69</v>
      </c>
      <c r="I5" s="18">
        <v>36</v>
      </c>
      <c r="J5" s="18">
        <v>24</v>
      </c>
      <c r="K5" s="19">
        <v>22000000</v>
      </c>
      <c r="L5" s="19">
        <v>23100000</v>
      </c>
      <c r="M5" s="20">
        <v>0.14000000000000001</v>
      </c>
      <c r="N5" s="20">
        <v>0.03</v>
      </c>
      <c r="O5" s="20">
        <v>1.4999999999999999E-2</v>
      </c>
      <c r="P5" s="20">
        <v>0.02</v>
      </c>
      <c r="Q5" s="16" t="s">
        <v>70</v>
      </c>
      <c r="R5" s="16" t="s">
        <v>46</v>
      </c>
      <c r="S5" s="20">
        <v>0.48</v>
      </c>
      <c r="T5" s="21">
        <v>2.1</v>
      </c>
      <c r="U5" s="22" t="s">
        <v>47</v>
      </c>
      <c r="V5" s="16" t="s">
        <v>71</v>
      </c>
      <c r="W5" s="19">
        <v>32000000</v>
      </c>
      <c r="X5" s="19">
        <v>48000000</v>
      </c>
      <c r="Y5" s="19">
        <v>18500000</v>
      </c>
      <c r="Z5" s="19">
        <v>24800000</v>
      </c>
      <c r="AA5" s="21">
        <v>1.34</v>
      </c>
      <c r="AB5" s="21">
        <v>2.64</v>
      </c>
      <c r="AC5" s="32" t="s">
        <v>72</v>
      </c>
      <c r="AD5" s="17" t="s">
        <v>73</v>
      </c>
      <c r="AE5" s="17" t="s">
        <v>58</v>
      </c>
      <c r="AF5" s="19">
        <v>5280000</v>
      </c>
      <c r="AG5" s="19">
        <v>0</v>
      </c>
      <c r="AH5" s="23">
        <f ca="1">IFERROR(H5-TODAY(),"")</f>
        <v>184</v>
      </c>
      <c r="AI5" s="20">
        <f>IFERROR(M5+N5+O5/I5*12,"")</f>
        <v>0.17500000000000002</v>
      </c>
      <c r="AJ5" s="19">
        <f>IFERROR(K5*(M5+N5),"")</f>
        <v>3740000.0000000005</v>
      </c>
    </row>
    <row r="6" spans="1:40" x14ac:dyDescent="0.3">
      <c r="A6" s="24" t="s">
        <v>74</v>
      </c>
      <c r="B6" s="24" t="s">
        <v>75</v>
      </c>
      <c r="C6" s="24" t="s">
        <v>39</v>
      </c>
      <c r="D6" s="24" t="s">
        <v>76</v>
      </c>
      <c r="E6" s="24" t="s">
        <v>77</v>
      </c>
      <c r="F6" s="24" t="s">
        <v>78</v>
      </c>
      <c r="G6" s="25" t="s">
        <v>79</v>
      </c>
      <c r="H6" s="25" t="s">
        <v>80</v>
      </c>
      <c r="I6" s="26">
        <v>60</v>
      </c>
      <c r="J6" s="26">
        <v>18</v>
      </c>
      <c r="K6" s="27">
        <v>11000000</v>
      </c>
      <c r="L6" s="27">
        <v>11400000</v>
      </c>
      <c r="M6" s="28">
        <v>0.115</v>
      </c>
      <c r="N6" s="28">
        <v>0</v>
      </c>
      <c r="O6" s="28">
        <v>0.02</v>
      </c>
      <c r="P6" s="28">
        <v>2.5000000000000001E-2</v>
      </c>
      <c r="Q6" s="24" t="s">
        <v>45</v>
      </c>
      <c r="R6" s="24" t="s">
        <v>81</v>
      </c>
      <c r="S6" s="28">
        <v>0.68</v>
      </c>
      <c r="T6" s="29">
        <v>1.32</v>
      </c>
      <c r="U6" s="31" t="s">
        <v>82</v>
      </c>
      <c r="V6" s="24" t="s">
        <v>83</v>
      </c>
      <c r="W6" s="27">
        <v>14800000</v>
      </c>
      <c r="X6" s="27">
        <v>28500000</v>
      </c>
      <c r="Y6" s="27">
        <v>5800000</v>
      </c>
      <c r="Z6" s="27">
        <v>13200000</v>
      </c>
      <c r="AA6" s="29">
        <v>2.2799999999999998</v>
      </c>
      <c r="AB6" s="29">
        <v>1.32</v>
      </c>
      <c r="AC6" s="30" t="s">
        <v>84</v>
      </c>
      <c r="AD6" s="25" t="s">
        <v>73</v>
      </c>
      <c r="AE6" s="25" t="s">
        <v>85</v>
      </c>
      <c r="AF6" s="27">
        <v>2185000</v>
      </c>
      <c r="AG6" s="27">
        <v>2200000</v>
      </c>
      <c r="AH6" s="23">
        <f ca="1">IFERROR(H6-TODAY(),"")</f>
        <v>427</v>
      </c>
      <c r="AI6" s="20">
        <f>IFERROR(M6+N6+O6/I6*12,"")</f>
        <v>0.11900000000000001</v>
      </c>
      <c r="AJ6" s="19">
        <f>IFERROR(K6*(M6+N6),"")</f>
        <v>1265000</v>
      </c>
    </row>
    <row r="7" spans="1:40" x14ac:dyDescent="0.3">
      <c r="A7" s="16" t="s">
        <v>86</v>
      </c>
      <c r="B7" s="16" t="s">
        <v>87</v>
      </c>
      <c r="C7" s="16" t="s">
        <v>39</v>
      </c>
      <c r="D7" s="16" t="s">
        <v>88</v>
      </c>
      <c r="E7" s="16" t="s">
        <v>89</v>
      </c>
      <c r="F7" s="16" t="s">
        <v>90</v>
      </c>
      <c r="G7" s="17" t="s">
        <v>91</v>
      </c>
      <c r="H7" s="17" t="s">
        <v>92</v>
      </c>
      <c r="I7" s="18">
        <v>36</v>
      </c>
      <c r="J7" s="18">
        <v>6</v>
      </c>
      <c r="K7" s="19">
        <v>6000000</v>
      </c>
      <c r="L7" s="19">
        <v>6150000</v>
      </c>
      <c r="M7" s="20">
        <v>0.11</v>
      </c>
      <c r="N7" s="20">
        <v>0</v>
      </c>
      <c r="O7" s="20">
        <v>1.4999999999999999E-2</v>
      </c>
      <c r="P7" s="20">
        <v>1.4999999999999999E-2</v>
      </c>
      <c r="Q7" s="16" t="s">
        <v>45</v>
      </c>
      <c r="R7" s="16" t="s">
        <v>59</v>
      </c>
      <c r="S7" s="20">
        <v>0.5</v>
      </c>
      <c r="T7" s="21">
        <v>1.95</v>
      </c>
      <c r="U7" s="22" t="s">
        <v>47</v>
      </c>
      <c r="V7" s="16" t="s">
        <v>93</v>
      </c>
      <c r="W7" s="19">
        <v>9200000</v>
      </c>
      <c r="X7" s="19">
        <v>41000000</v>
      </c>
      <c r="Y7" s="19">
        <v>9800000</v>
      </c>
      <c r="Z7" s="19">
        <v>6500000</v>
      </c>
      <c r="AA7" s="21">
        <v>0.66</v>
      </c>
      <c r="AB7" s="21">
        <v>2.94</v>
      </c>
      <c r="AC7" s="22" t="s">
        <v>49</v>
      </c>
      <c r="AD7" s="17" t="s">
        <v>63</v>
      </c>
      <c r="AE7" s="17" t="s">
        <v>58</v>
      </c>
      <c r="AF7" s="19">
        <v>1017500</v>
      </c>
      <c r="AG7" s="19">
        <v>3500000</v>
      </c>
      <c r="AH7" s="23">
        <f ca="1">IFERROR(H7-TODAY(),"")</f>
        <v>123</v>
      </c>
      <c r="AI7" s="20">
        <f>IFERROR(M7+N7+O7/I7*12,"")</f>
        <v>0.115</v>
      </c>
      <c r="AJ7" s="19">
        <f>IFERROR(K7*(M7+N7),"")</f>
        <v>660000</v>
      </c>
    </row>
    <row r="10" spans="1:40" x14ac:dyDescent="0.3">
      <c r="A10" s="13" t="s">
        <v>94</v>
      </c>
      <c r="B10" s="13"/>
      <c r="C10" s="13"/>
      <c r="D10" s="13"/>
      <c r="E10" s="13"/>
      <c r="F10" s="13"/>
    </row>
    <row r="11" spans="1:40" x14ac:dyDescent="0.3">
      <c r="A11" s="15" t="s">
        <v>95</v>
      </c>
      <c r="B11" s="15" t="s">
        <v>96</v>
      </c>
      <c r="C11" s="15" t="s">
        <v>97</v>
      </c>
      <c r="D11" s="15" t="s">
        <v>98</v>
      </c>
      <c r="E11" s="15" t="s">
        <v>99</v>
      </c>
      <c r="F11" s="15"/>
    </row>
    <row r="12" spans="1:40" x14ac:dyDescent="0.3">
      <c r="A12" s="33" t="s">
        <v>100</v>
      </c>
      <c r="B12" s="33" t="s">
        <v>101</v>
      </c>
      <c r="C12" s="33" t="s">
        <v>102</v>
      </c>
      <c r="D12" s="34">
        <v>1.2942</v>
      </c>
      <c r="E12" s="35" t="s">
        <v>103</v>
      </c>
    </row>
    <row r="13" spans="1:40" x14ac:dyDescent="0.3">
      <c r="A13" s="36" t="s">
        <v>100</v>
      </c>
      <c r="B13" s="36" t="s">
        <v>101</v>
      </c>
      <c r="C13" s="36" t="s">
        <v>104</v>
      </c>
      <c r="D13" s="37">
        <v>1.0813999999999999</v>
      </c>
      <c r="E13" s="35" t="s">
        <v>103</v>
      </c>
    </row>
    <row r="14" spans="1:40" x14ac:dyDescent="0.3">
      <c r="A14" s="33" t="s">
        <v>100</v>
      </c>
      <c r="B14" s="33" t="s">
        <v>101</v>
      </c>
      <c r="C14" s="33" t="s">
        <v>105</v>
      </c>
      <c r="D14" s="34">
        <v>0.73809999999999998</v>
      </c>
      <c r="E14" s="35" t="s">
        <v>103</v>
      </c>
    </row>
    <row r="15" spans="1:40" x14ac:dyDescent="0.3">
      <c r="A15" s="36" t="s">
        <v>106</v>
      </c>
      <c r="B15" s="36" t="s">
        <v>107</v>
      </c>
      <c r="C15" s="36" t="s">
        <v>102</v>
      </c>
      <c r="D15" s="37">
        <v>1.2521</v>
      </c>
      <c r="E15" s="35" t="s">
        <v>103</v>
      </c>
    </row>
    <row r="16" spans="1:40" x14ac:dyDescent="0.3">
      <c r="A16" s="33" t="s">
        <v>106</v>
      </c>
      <c r="B16" s="33" t="s">
        <v>107</v>
      </c>
      <c r="C16" s="33" t="s">
        <v>104</v>
      </c>
      <c r="D16" s="34">
        <v>1.0351999999999999</v>
      </c>
      <c r="E16" s="35" t="s">
        <v>103</v>
      </c>
    </row>
    <row r="17" spans="1:5" x14ac:dyDescent="0.3">
      <c r="A17" s="36" t="s">
        <v>106</v>
      </c>
      <c r="B17" s="36" t="s">
        <v>107</v>
      </c>
      <c r="C17" s="36" t="s">
        <v>105</v>
      </c>
      <c r="D17" s="37">
        <v>0.69430000000000003</v>
      </c>
      <c r="E17" s="35" t="s">
        <v>103</v>
      </c>
    </row>
    <row r="18" spans="1:5" x14ac:dyDescent="0.3">
      <c r="A18" s="33" t="s">
        <v>108</v>
      </c>
      <c r="B18" s="33" t="s">
        <v>109</v>
      </c>
      <c r="C18" s="33" t="s">
        <v>102</v>
      </c>
      <c r="D18" s="34">
        <v>1.3384</v>
      </c>
      <c r="E18" s="35" t="s">
        <v>103</v>
      </c>
    </row>
    <row r="19" spans="1:5" x14ac:dyDescent="0.3">
      <c r="A19" s="36" t="s">
        <v>108</v>
      </c>
      <c r="B19" s="36" t="s">
        <v>109</v>
      </c>
      <c r="C19" s="36" t="s">
        <v>104</v>
      </c>
      <c r="D19" s="37">
        <v>1.1162000000000001</v>
      </c>
      <c r="E19" s="35" t="s">
        <v>103</v>
      </c>
    </row>
    <row r="20" spans="1:5" x14ac:dyDescent="0.3">
      <c r="A20" s="33" t="s">
        <v>108</v>
      </c>
      <c r="B20" s="33" t="s">
        <v>109</v>
      </c>
      <c r="C20" s="33" t="s">
        <v>105</v>
      </c>
      <c r="D20" s="34">
        <v>0.74619999999999997</v>
      </c>
      <c r="E20" s="35" t="s">
        <v>103</v>
      </c>
    </row>
  </sheetData>
  <mergeCells count="2">
    <mergeCell ref="A1:AN1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39"/>
  <sheetViews>
    <sheetView zoomScaleNormal="100" workbookViewId="0">
      <selection activeCell="A14" sqref="A14:F14"/>
    </sheetView>
  </sheetViews>
  <sheetFormatPr defaultColWidth="8.6640625" defaultRowHeight="14.4" x14ac:dyDescent="0.3"/>
  <cols>
    <col min="1" max="1" width="3" customWidth="1"/>
    <col min="2" max="2" width="30" customWidth="1"/>
    <col min="3" max="3" width="10" customWidth="1"/>
    <col min="4" max="4" width="18" customWidth="1"/>
    <col min="5" max="6" width="10" customWidth="1"/>
  </cols>
  <sheetData>
    <row r="1" spans="1:6" ht="25.5" customHeight="1" x14ac:dyDescent="0.3">
      <c r="A1" s="12" t="s">
        <v>110</v>
      </c>
      <c r="B1" s="12"/>
      <c r="C1" s="12"/>
      <c r="D1" s="12"/>
      <c r="E1" s="12"/>
      <c r="F1" s="12"/>
    </row>
    <row r="3" spans="1:6" x14ac:dyDescent="0.3">
      <c r="A3" s="11" t="s">
        <v>111</v>
      </c>
      <c r="B3" s="11"/>
      <c r="C3" s="11"/>
      <c r="D3" s="11"/>
      <c r="E3" s="11"/>
      <c r="F3" s="11"/>
    </row>
    <row r="4" spans="1:6" x14ac:dyDescent="0.3">
      <c r="B4" s="10" t="s">
        <v>112</v>
      </c>
      <c r="C4" s="10"/>
      <c r="D4" s="9" t="s">
        <v>113</v>
      </c>
      <c r="E4" s="9"/>
      <c r="F4" s="9"/>
    </row>
    <row r="5" spans="1:6" x14ac:dyDescent="0.3">
      <c r="B5" s="10" t="s">
        <v>114</v>
      </c>
      <c r="C5" s="10"/>
      <c r="D5" s="9" t="s">
        <v>115</v>
      </c>
      <c r="E5" s="9"/>
      <c r="F5" s="9"/>
    </row>
    <row r="6" spans="1:6" x14ac:dyDescent="0.3">
      <c r="B6" s="10" t="s">
        <v>116</v>
      </c>
      <c r="C6" s="10"/>
      <c r="D6" s="8">
        <v>62500000</v>
      </c>
      <c r="E6" s="8"/>
      <c r="F6" s="8"/>
    </row>
    <row r="7" spans="1:6" x14ac:dyDescent="0.3">
      <c r="B7" s="10" t="s">
        <v>117</v>
      </c>
      <c r="C7" s="10"/>
      <c r="D7" s="8">
        <v>2500000</v>
      </c>
      <c r="E7" s="8"/>
      <c r="F7" s="8"/>
    </row>
    <row r="8" spans="1:6" x14ac:dyDescent="0.3">
      <c r="B8" s="10" t="s">
        <v>118</v>
      </c>
      <c r="C8" s="10"/>
      <c r="D8" s="7">
        <v>8</v>
      </c>
      <c r="E8" s="7"/>
      <c r="F8" s="7"/>
    </row>
    <row r="9" spans="1:6" x14ac:dyDescent="0.3">
      <c r="B9" s="10" t="s">
        <v>119</v>
      </c>
      <c r="C9" s="10"/>
      <c r="D9" s="7">
        <v>4</v>
      </c>
      <c r="E9" s="7"/>
      <c r="F9" s="7"/>
    </row>
    <row r="10" spans="1:6" x14ac:dyDescent="0.3">
      <c r="B10" s="10" t="s">
        <v>120</v>
      </c>
      <c r="C10" s="10"/>
      <c r="D10" s="6">
        <v>0.12</v>
      </c>
      <c r="E10" s="6"/>
      <c r="F10" s="6"/>
    </row>
    <row r="11" spans="1:6" x14ac:dyDescent="0.3">
      <c r="B11" s="10" t="s">
        <v>121</v>
      </c>
      <c r="C11" s="10"/>
      <c r="D11" s="6">
        <v>0.09</v>
      </c>
      <c r="E11" s="6"/>
      <c r="F11" s="6"/>
    </row>
    <row r="12" spans="1:6" x14ac:dyDescent="0.3">
      <c r="B12" s="10" t="s">
        <v>122</v>
      </c>
      <c r="C12" s="10"/>
      <c r="D12" s="9" t="s">
        <v>123</v>
      </c>
      <c r="E12" s="9"/>
      <c r="F12" s="9"/>
    </row>
    <row r="14" spans="1:6" x14ac:dyDescent="0.3">
      <c r="A14" s="11" t="s">
        <v>124</v>
      </c>
      <c r="B14" s="11"/>
      <c r="C14" s="11"/>
      <c r="D14" s="11"/>
      <c r="E14" s="11"/>
      <c r="F14" s="11"/>
    </row>
    <row r="15" spans="1:6" x14ac:dyDescent="0.3">
      <c r="B15" s="10" t="s">
        <v>125</v>
      </c>
      <c r="C15" s="10"/>
      <c r="D15" s="6">
        <v>0.25</v>
      </c>
      <c r="E15" s="6"/>
      <c r="F15" s="6"/>
    </row>
    <row r="16" spans="1:6" x14ac:dyDescent="0.3">
      <c r="B16" s="10" t="s">
        <v>126</v>
      </c>
      <c r="C16" s="10"/>
      <c r="D16" s="6">
        <v>0.3</v>
      </c>
      <c r="E16" s="6"/>
      <c r="F16" s="6"/>
    </row>
    <row r="17" spans="1:6" x14ac:dyDescent="0.3">
      <c r="B17" s="10" t="s">
        <v>127</v>
      </c>
      <c r="C17" s="10"/>
      <c r="D17" s="6">
        <v>0.3</v>
      </c>
      <c r="E17" s="6"/>
      <c r="F17" s="6"/>
    </row>
    <row r="18" spans="1:6" x14ac:dyDescent="0.3">
      <c r="B18" s="10" t="s">
        <v>128</v>
      </c>
      <c r="C18" s="10"/>
      <c r="D18" s="6">
        <v>0.2</v>
      </c>
      <c r="E18" s="6"/>
      <c r="F18" s="6"/>
    </row>
    <row r="19" spans="1:6" x14ac:dyDescent="0.3">
      <c r="B19" s="10" t="s">
        <v>129</v>
      </c>
      <c r="C19" s="10"/>
      <c r="D19" s="6">
        <v>0.2</v>
      </c>
      <c r="E19" s="6"/>
      <c r="F19" s="6"/>
    </row>
    <row r="20" spans="1:6" x14ac:dyDescent="0.3">
      <c r="B20" s="10" t="s">
        <v>130</v>
      </c>
      <c r="C20" s="10"/>
      <c r="D20" s="6">
        <v>0.3</v>
      </c>
      <c r="E20" s="6"/>
      <c r="F20" s="6"/>
    </row>
    <row r="21" spans="1:6" x14ac:dyDescent="0.3">
      <c r="B21" s="10" t="s">
        <v>131</v>
      </c>
      <c r="C21" s="10"/>
      <c r="D21" s="6">
        <v>0.4</v>
      </c>
      <c r="E21" s="6"/>
      <c r="F21" s="6"/>
    </row>
    <row r="23" spans="1:6" x14ac:dyDescent="0.3">
      <c r="A23" s="11" t="s">
        <v>132</v>
      </c>
      <c r="B23" s="11"/>
      <c r="C23" s="11"/>
      <c r="D23" s="11"/>
      <c r="E23" s="11"/>
      <c r="F23" s="11"/>
    </row>
    <row r="24" spans="1:6" x14ac:dyDescent="0.3">
      <c r="B24" s="10" t="s">
        <v>133</v>
      </c>
      <c r="C24" s="10"/>
      <c r="D24" s="5">
        <v>1.25</v>
      </c>
      <c r="E24" s="5"/>
      <c r="F24" s="5"/>
    </row>
    <row r="25" spans="1:6" x14ac:dyDescent="0.3">
      <c r="B25" s="10" t="s">
        <v>134</v>
      </c>
      <c r="C25" s="10"/>
      <c r="D25" s="6">
        <v>0.75</v>
      </c>
      <c r="E25" s="6"/>
      <c r="F25" s="6"/>
    </row>
    <row r="26" spans="1:6" x14ac:dyDescent="0.3">
      <c r="B26" s="10" t="s">
        <v>135</v>
      </c>
      <c r="C26" s="10"/>
      <c r="D26" s="6">
        <v>0.7</v>
      </c>
      <c r="E26" s="6"/>
      <c r="F26" s="6"/>
    </row>
    <row r="27" spans="1:6" x14ac:dyDescent="0.3">
      <c r="B27" s="10" t="s">
        <v>136</v>
      </c>
      <c r="C27" s="10"/>
      <c r="D27" s="6">
        <v>0.65</v>
      </c>
      <c r="E27" s="6"/>
      <c r="F27" s="6"/>
    </row>
    <row r="29" spans="1:6" x14ac:dyDescent="0.3">
      <c r="A29" s="11" t="s">
        <v>137</v>
      </c>
      <c r="B29" s="11"/>
      <c r="C29" s="11"/>
      <c r="D29" s="11"/>
      <c r="E29" s="11"/>
      <c r="F29" s="11"/>
    </row>
    <row r="30" spans="1:6" x14ac:dyDescent="0.3">
      <c r="B30" s="10" t="s">
        <v>138</v>
      </c>
      <c r="C30" s="10"/>
      <c r="D30" s="6">
        <v>1.4999999999999999E-2</v>
      </c>
      <c r="E30" s="6"/>
      <c r="F30" s="6"/>
    </row>
    <row r="31" spans="1:6" x14ac:dyDescent="0.3">
      <c r="B31" s="10" t="s">
        <v>139</v>
      </c>
      <c r="C31" s="10"/>
      <c r="D31" s="6">
        <v>0.2</v>
      </c>
      <c r="E31" s="6"/>
      <c r="F31" s="6"/>
    </row>
    <row r="32" spans="1:6" x14ac:dyDescent="0.3">
      <c r="B32" s="10" t="s">
        <v>140</v>
      </c>
      <c r="C32" s="10"/>
      <c r="D32" s="6">
        <v>0.08</v>
      </c>
      <c r="E32" s="6"/>
      <c r="F32" s="6"/>
    </row>
    <row r="33" spans="1:6" x14ac:dyDescent="0.3">
      <c r="B33" s="10" t="s">
        <v>141</v>
      </c>
      <c r="C33" s="10"/>
      <c r="D33" s="6">
        <v>1</v>
      </c>
      <c r="E33" s="6"/>
      <c r="F33" s="6"/>
    </row>
    <row r="35" spans="1:6" x14ac:dyDescent="0.3">
      <c r="A35" s="11" t="s">
        <v>142</v>
      </c>
      <c r="B35" s="11"/>
      <c r="C35" s="11"/>
      <c r="D35" s="11"/>
      <c r="E35" s="11"/>
      <c r="F35" s="11"/>
    </row>
    <row r="36" spans="1:6" x14ac:dyDescent="0.3">
      <c r="B36" s="10" t="s">
        <v>143</v>
      </c>
      <c r="C36" s="10"/>
      <c r="D36" s="9" t="s">
        <v>144</v>
      </c>
      <c r="E36" s="9"/>
      <c r="F36" s="9"/>
    </row>
    <row r="37" spans="1:6" x14ac:dyDescent="0.3">
      <c r="B37" s="10" t="s">
        <v>145</v>
      </c>
      <c r="C37" s="10"/>
      <c r="D37" s="6">
        <v>0.12</v>
      </c>
      <c r="E37" s="6"/>
      <c r="F37" s="6"/>
    </row>
    <row r="38" spans="1:6" x14ac:dyDescent="0.3">
      <c r="B38" s="10" t="s">
        <v>146</v>
      </c>
      <c r="C38" s="10"/>
      <c r="D38" s="6">
        <v>0.15</v>
      </c>
      <c r="E38" s="6"/>
      <c r="F38" s="6"/>
    </row>
    <row r="39" spans="1:6" x14ac:dyDescent="0.3">
      <c r="B39" s="10" t="s">
        <v>147</v>
      </c>
      <c r="C39" s="10"/>
      <c r="D39" s="6">
        <v>0.18</v>
      </c>
      <c r="E39" s="6"/>
      <c r="F39" s="6"/>
    </row>
  </sheetData>
  <mergeCells count="62">
    <mergeCell ref="B37:C37"/>
    <mergeCell ref="D37:F37"/>
    <mergeCell ref="B38:C38"/>
    <mergeCell ref="D38:F38"/>
    <mergeCell ref="B39:C39"/>
    <mergeCell ref="D39:F39"/>
    <mergeCell ref="B33:C33"/>
    <mergeCell ref="D33:F33"/>
    <mergeCell ref="A35:F35"/>
    <mergeCell ref="B36:C36"/>
    <mergeCell ref="D36:F36"/>
    <mergeCell ref="B30:C30"/>
    <mergeCell ref="D30:F30"/>
    <mergeCell ref="B31:C31"/>
    <mergeCell ref="D31:F31"/>
    <mergeCell ref="B32:C32"/>
    <mergeCell ref="D32:F32"/>
    <mergeCell ref="B26:C26"/>
    <mergeCell ref="D26:F26"/>
    <mergeCell ref="B27:C27"/>
    <mergeCell ref="D27:F27"/>
    <mergeCell ref="A29:F29"/>
    <mergeCell ref="A23:F23"/>
    <mergeCell ref="B24:C24"/>
    <mergeCell ref="D24:F24"/>
    <mergeCell ref="B25:C25"/>
    <mergeCell ref="D25:F25"/>
    <mergeCell ref="B19:C19"/>
    <mergeCell ref="D19:F19"/>
    <mergeCell ref="B20:C20"/>
    <mergeCell ref="D20:F20"/>
    <mergeCell ref="B21:C21"/>
    <mergeCell ref="D21:F21"/>
    <mergeCell ref="B16:C16"/>
    <mergeCell ref="D16:F16"/>
    <mergeCell ref="B17:C17"/>
    <mergeCell ref="D17:F17"/>
    <mergeCell ref="B18:C18"/>
    <mergeCell ref="D18:F18"/>
    <mergeCell ref="B12:C12"/>
    <mergeCell ref="D12:F12"/>
    <mergeCell ref="A14:F14"/>
    <mergeCell ref="B15:C15"/>
    <mergeCell ref="D15:F15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A1:F1"/>
    <mergeCell ref="A3:F3"/>
    <mergeCell ref="B4:C4"/>
    <mergeCell ref="D4:F4"/>
    <mergeCell ref="B5:C5"/>
    <mergeCell ref="D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85FA5"/>
  </sheetPr>
  <dimension ref="A1:S52"/>
  <sheetViews>
    <sheetView tabSelected="1" zoomScaleNormal="100" workbookViewId="0">
      <pane ySplit="5" topLeftCell="A6" activePane="bottomLeft" state="frozen"/>
      <selection pane="bottomLeft" activeCell="F24" sqref="F24"/>
    </sheetView>
  </sheetViews>
  <sheetFormatPr defaultColWidth="8.6640625" defaultRowHeight="14.4" x14ac:dyDescent="0.3"/>
  <cols>
    <col min="1" max="1" width="10" customWidth="1"/>
    <col min="2" max="2" width="13" customWidth="1"/>
    <col min="3" max="3" width="24" customWidth="1"/>
    <col min="4" max="4" width="13" customWidth="1"/>
    <col min="5" max="7" width="16" customWidth="1"/>
    <col min="8" max="8" width="10" customWidth="1"/>
    <col min="9" max="9" width="8" customWidth="1"/>
    <col min="10" max="10" width="21" bestFit="1" customWidth="1"/>
    <col min="11" max="11" width="14" customWidth="1"/>
    <col min="12" max="14" width="16" customWidth="1"/>
    <col min="15" max="15" width="10" customWidth="1"/>
  </cols>
  <sheetData>
    <row r="1" spans="1:19" ht="27.75" customHeight="1" x14ac:dyDescent="0.3">
      <c r="A1" s="4" t="s">
        <v>191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15.75" customHeight="1" x14ac:dyDescent="0.3">
      <c r="A2" s="3" t="s">
        <v>192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4" spans="1:19" x14ac:dyDescent="0.3">
      <c r="A4" s="13" t="s">
        <v>193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9" x14ac:dyDescent="0.3">
      <c r="A5" s="46" t="s">
        <v>95</v>
      </c>
      <c r="B5" s="46" t="s">
        <v>194</v>
      </c>
      <c r="C5" s="46" t="s">
        <v>4</v>
      </c>
      <c r="D5" s="46" t="s">
        <v>5</v>
      </c>
      <c r="E5" s="46" t="s">
        <v>195</v>
      </c>
      <c r="F5" s="46" t="s">
        <v>162</v>
      </c>
      <c r="G5" s="46" t="s">
        <v>196</v>
      </c>
      <c r="H5" s="46" t="s">
        <v>197</v>
      </c>
      <c r="I5" s="46" t="s">
        <v>198</v>
      </c>
      <c r="J5" s="46" t="s">
        <v>199</v>
      </c>
      <c r="K5" s="46" t="s">
        <v>21</v>
      </c>
      <c r="L5" s="46" t="s">
        <v>200</v>
      </c>
      <c r="M5" s="46" t="s">
        <v>201</v>
      </c>
      <c r="N5" s="46" t="s">
        <v>202</v>
      </c>
      <c r="O5" s="46" t="s">
        <v>203</v>
      </c>
    </row>
    <row r="6" spans="1:19" x14ac:dyDescent="0.3">
      <c r="A6" s="59" t="s">
        <v>204</v>
      </c>
      <c r="B6" s="25" t="s">
        <v>205</v>
      </c>
      <c r="C6" s="24" t="s">
        <v>40</v>
      </c>
      <c r="D6" s="24" t="s">
        <v>41</v>
      </c>
      <c r="E6" s="27">
        <v>15000000</v>
      </c>
      <c r="F6" s="27">
        <v>15000000</v>
      </c>
      <c r="G6" s="27">
        <v>0</v>
      </c>
      <c r="H6" s="66">
        <v>1</v>
      </c>
      <c r="I6" s="29"/>
      <c r="J6" s="28">
        <v>0.55000000000000004</v>
      </c>
      <c r="K6" s="22" t="s">
        <v>47</v>
      </c>
      <c r="L6" s="27">
        <v>0</v>
      </c>
      <c r="M6" s="27">
        <v>0</v>
      </c>
      <c r="N6" s="27">
        <v>0</v>
      </c>
      <c r="O6" s="59" t="s">
        <v>206</v>
      </c>
    </row>
    <row r="7" spans="1:19" x14ac:dyDescent="0.3">
      <c r="A7" s="63" t="s">
        <v>207</v>
      </c>
      <c r="B7" s="17" t="s">
        <v>208</v>
      </c>
      <c r="C7" s="16" t="s">
        <v>40</v>
      </c>
      <c r="D7" s="16" t="s">
        <v>41</v>
      </c>
      <c r="E7" s="19">
        <v>15000000</v>
      </c>
      <c r="F7" s="19">
        <v>15150000</v>
      </c>
      <c r="G7" s="19">
        <v>150000</v>
      </c>
      <c r="H7" s="67">
        <v>1.01</v>
      </c>
      <c r="I7" s="21">
        <v>1.85</v>
      </c>
      <c r="J7" s="20">
        <v>0.54500000000000004</v>
      </c>
      <c r="K7" s="22" t="s">
        <v>47</v>
      </c>
      <c r="L7" s="19">
        <v>543750</v>
      </c>
      <c r="M7" s="19">
        <v>75000</v>
      </c>
      <c r="N7" s="19">
        <v>618750</v>
      </c>
      <c r="O7" s="63" t="s">
        <v>144</v>
      </c>
    </row>
    <row r="8" spans="1:19" x14ac:dyDescent="0.3">
      <c r="A8" s="59" t="s">
        <v>209</v>
      </c>
      <c r="B8" s="25" t="s">
        <v>210</v>
      </c>
      <c r="C8" s="24" t="s">
        <v>40</v>
      </c>
      <c r="D8" s="24" t="s">
        <v>41</v>
      </c>
      <c r="E8" s="27">
        <v>15000000</v>
      </c>
      <c r="F8" s="27">
        <v>15300000</v>
      </c>
      <c r="G8" s="27">
        <v>300000</v>
      </c>
      <c r="H8" s="66">
        <v>1.02</v>
      </c>
      <c r="I8" s="29">
        <v>1.88</v>
      </c>
      <c r="J8" s="28">
        <v>0.54</v>
      </c>
      <c r="K8" s="22" t="s">
        <v>47</v>
      </c>
      <c r="L8" s="27">
        <v>543750</v>
      </c>
      <c r="M8" s="27">
        <v>75000</v>
      </c>
      <c r="N8" s="27">
        <v>618750</v>
      </c>
      <c r="O8" s="59" t="s">
        <v>144</v>
      </c>
    </row>
    <row r="9" spans="1:19" x14ac:dyDescent="0.3">
      <c r="A9" s="63" t="s">
        <v>211</v>
      </c>
      <c r="B9" s="17" t="s">
        <v>212</v>
      </c>
      <c r="C9" s="16" t="s">
        <v>40</v>
      </c>
      <c r="D9" s="16" t="s">
        <v>41</v>
      </c>
      <c r="E9" s="19">
        <v>14750000</v>
      </c>
      <c r="F9" s="19">
        <v>14900000</v>
      </c>
      <c r="G9" s="19">
        <v>150000</v>
      </c>
      <c r="H9" s="67">
        <v>1.01</v>
      </c>
      <c r="I9" s="21">
        <v>1.91</v>
      </c>
      <c r="J9" s="20">
        <v>0.53800000000000003</v>
      </c>
      <c r="K9" s="22" t="s">
        <v>47</v>
      </c>
      <c r="L9" s="19">
        <v>543750</v>
      </c>
      <c r="M9" s="19">
        <v>75000</v>
      </c>
      <c r="N9" s="19">
        <v>618750</v>
      </c>
      <c r="O9" s="63" t="s">
        <v>144</v>
      </c>
    </row>
    <row r="10" spans="1:19" x14ac:dyDescent="0.3">
      <c r="A10" s="59" t="s">
        <v>211</v>
      </c>
      <c r="B10" s="25" t="s">
        <v>212</v>
      </c>
      <c r="C10" s="24" t="s">
        <v>54</v>
      </c>
      <c r="D10" s="24" t="s">
        <v>55</v>
      </c>
      <c r="E10" s="27">
        <v>8500000</v>
      </c>
      <c r="F10" s="27">
        <v>8450000</v>
      </c>
      <c r="G10" s="27">
        <v>-50000</v>
      </c>
      <c r="H10" s="66">
        <v>0.99399999999999999</v>
      </c>
      <c r="I10" s="29">
        <v>1.31</v>
      </c>
      <c r="J10" s="28">
        <v>0.61</v>
      </c>
      <c r="K10" s="22" t="s">
        <v>47</v>
      </c>
      <c r="L10" s="27">
        <v>276250</v>
      </c>
      <c r="M10" s="27">
        <v>0</v>
      </c>
      <c r="N10" s="27">
        <v>276250</v>
      </c>
      <c r="O10" s="59" t="s">
        <v>144</v>
      </c>
    </row>
    <row r="11" spans="1:19" x14ac:dyDescent="0.3">
      <c r="A11" s="63" t="s">
        <v>211</v>
      </c>
      <c r="B11" s="17" t="s">
        <v>212</v>
      </c>
      <c r="C11" s="16" t="s">
        <v>76</v>
      </c>
      <c r="D11" s="16" t="s">
        <v>77</v>
      </c>
      <c r="E11" s="19">
        <v>11000000</v>
      </c>
      <c r="F11" s="19">
        <v>11100000</v>
      </c>
      <c r="G11" s="19">
        <v>100000</v>
      </c>
      <c r="H11" s="67">
        <v>1.0089999999999999</v>
      </c>
      <c r="I11" s="21">
        <v>1.45</v>
      </c>
      <c r="J11" s="20">
        <v>0.67</v>
      </c>
      <c r="K11" s="22" t="s">
        <v>47</v>
      </c>
      <c r="L11" s="19">
        <v>317500</v>
      </c>
      <c r="M11" s="19">
        <v>0</v>
      </c>
      <c r="N11" s="19">
        <v>317500</v>
      </c>
      <c r="O11" s="63" t="s">
        <v>144</v>
      </c>
    </row>
    <row r="12" spans="1:19" x14ac:dyDescent="0.3">
      <c r="A12" s="59" t="s">
        <v>213</v>
      </c>
      <c r="B12" s="25" t="s">
        <v>214</v>
      </c>
      <c r="C12" s="24" t="s">
        <v>40</v>
      </c>
      <c r="D12" s="24" t="s">
        <v>41</v>
      </c>
      <c r="E12" s="27">
        <v>14500000</v>
      </c>
      <c r="F12" s="27">
        <v>14750000</v>
      </c>
      <c r="G12" s="27">
        <v>250000</v>
      </c>
      <c r="H12" s="66">
        <v>1.0169999999999999</v>
      </c>
      <c r="I12" s="29">
        <v>1.94</v>
      </c>
      <c r="J12" s="28">
        <v>0.53500000000000003</v>
      </c>
      <c r="K12" s="22" t="s">
        <v>47</v>
      </c>
      <c r="L12" s="27">
        <v>543750</v>
      </c>
      <c r="M12" s="27">
        <v>75000</v>
      </c>
      <c r="N12" s="27">
        <v>618750</v>
      </c>
      <c r="O12" s="59" t="s">
        <v>144</v>
      </c>
    </row>
    <row r="13" spans="1:19" x14ac:dyDescent="0.3">
      <c r="A13" s="63" t="s">
        <v>213</v>
      </c>
      <c r="B13" s="17" t="s">
        <v>214</v>
      </c>
      <c r="C13" s="16" t="s">
        <v>54</v>
      </c>
      <c r="D13" s="16" t="s">
        <v>55</v>
      </c>
      <c r="E13" s="19">
        <v>8250000</v>
      </c>
      <c r="F13" s="19">
        <v>8100000</v>
      </c>
      <c r="G13" s="19">
        <v>-150000</v>
      </c>
      <c r="H13" s="67">
        <v>0.98199999999999998</v>
      </c>
      <c r="I13" s="21">
        <v>1.26</v>
      </c>
      <c r="J13" s="20">
        <v>0.625</v>
      </c>
      <c r="K13" s="30" t="s">
        <v>60</v>
      </c>
      <c r="L13" s="19">
        <v>276250</v>
      </c>
      <c r="M13" s="19">
        <v>0</v>
      </c>
      <c r="N13" s="19">
        <v>276250</v>
      </c>
      <c r="O13" s="63" t="s">
        <v>144</v>
      </c>
    </row>
    <row r="14" spans="1:19" x14ac:dyDescent="0.3">
      <c r="A14" s="59" t="s">
        <v>213</v>
      </c>
      <c r="B14" s="25" t="s">
        <v>214</v>
      </c>
      <c r="C14" s="24" t="s">
        <v>76</v>
      </c>
      <c r="D14" s="24" t="s">
        <v>77</v>
      </c>
      <c r="E14" s="27">
        <v>11000000</v>
      </c>
      <c r="F14" s="27">
        <v>11050000</v>
      </c>
      <c r="G14" s="27">
        <v>50000</v>
      </c>
      <c r="H14" s="66">
        <v>1.0049999999999999</v>
      </c>
      <c r="I14" s="29">
        <v>1.41</v>
      </c>
      <c r="J14" s="28">
        <v>0.67400000000000004</v>
      </c>
      <c r="K14" s="22" t="s">
        <v>47</v>
      </c>
      <c r="L14" s="27">
        <v>317500</v>
      </c>
      <c r="M14" s="27">
        <v>0</v>
      </c>
      <c r="N14" s="27">
        <v>317500</v>
      </c>
      <c r="O14" s="59" t="s">
        <v>144</v>
      </c>
    </row>
    <row r="15" spans="1:19" x14ac:dyDescent="0.3">
      <c r="A15" s="63" t="s">
        <v>213</v>
      </c>
      <c r="B15" s="17" t="s">
        <v>214</v>
      </c>
      <c r="C15" s="16" t="s">
        <v>66</v>
      </c>
      <c r="D15" s="16" t="s">
        <v>67</v>
      </c>
      <c r="E15" s="19">
        <v>22000000</v>
      </c>
      <c r="F15" s="19">
        <v>22500000</v>
      </c>
      <c r="G15" s="19">
        <v>500000</v>
      </c>
      <c r="H15" s="67">
        <v>1.0229999999999999</v>
      </c>
      <c r="I15" s="21">
        <v>2.15</v>
      </c>
      <c r="J15" s="20">
        <v>0.47899999999999998</v>
      </c>
      <c r="K15" s="22" t="s">
        <v>47</v>
      </c>
      <c r="L15" s="19">
        <v>770000</v>
      </c>
      <c r="M15" s="19">
        <v>660000</v>
      </c>
      <c r="N15" s="19">
        <v>1430000</v>
      </c>
      <c r="O15" s="63" t="s">
        <v>144</v>
      </c>
    </row>
    <row r="16" spans="1:19" x14ac:dyDescent="0.3">
      <c r="A16" s="59" t="s">
        <v>215</v>
      </c>
      <c r="B16" s="25" t="s">
        <v>216</v>
      </c>
      <c r="C16" s="24" t="s">
        <v>40</v>
      </c>
      <c r="D16" s="24" t="s">
        <v>41</v>
      </c>
      <c r="E16" s="27">
        <v>14250000</v>
      </c>
      <c r="F16" s="27">
        <v>14600000</v>
      </c>
      <c r="G16" s="27">
        <v>350000</v>
      </c>
      <c r="H16" s="66">
        <v>1.0249999999999999</v>
      </c>
      <c r="I16" s="29">
        <v>1.97</v>
      </c>
      <c r="J16" s="28">
        <v>0.53200000000000003</v>
      </c>
      <c r="K16" s="22" t="s">
        <v>47</v>
      </c>
      <c r="L16" s="27">
        <v>543750</v>
      </c>
      <c r="M16" s="27">
        <v>75000</v>
      </c>
      <c r="N16" s="27">
        <v>618750</v>
      </c>
      <c r="O16" s="59" t="s">
        <v>144</v>
      </c>
    </row>
    <row r="17" spans="1:15" x14ac:dyDescent="0.3">
      <c r="A17" s="63" t="s">
        <v>215</v>
      </c>
      <c r="B17" s="17" t="s">
        <v>216</v>
      </c>
      <c r="C17" s="16" t="s">
        <v>54</v>
      </c>
      <c r="D17" s="16" t="s">
        <v>55</v>
      </c>
      <c r="E17" s="19">
        <v>8000000</v>
      </c>
      <c r="F17" s="19">
        <v>7800000</v>
      </c>
      <c r="G17" s="19">
        <v>-200000</v>
      </c>
      <c r="H17" s="67">
        <v>0.97499999999999998</v>
      </c>
      <c r="I17" s="21">
        <v>1.22</v>
      </c>
      <c r="J17" s="20">
        <v>0.63800000000000001</v>
      </c>
      <c r="K17" s="30" t="s">
        <v>60</v>
      </c>
      <c r="L17" s="19">
        <v>276250</v>
      </c>
      <c r="M17" s="19">
        <v>0</v>
      </c>
      <c r="N17" s="19">
        <v>276250</v>
      </c>
      <c r="O17" s="63" t="s">
        <v>144</v>
      </c>
    </row>
    <row r="18" spans="1:15" x14ac:dyDescent="0.3">
      <c r="A18" s="59" t="s">
        <v>215</v>
      </c>
      <c r="B18" s="25" t="s">
        <v>216</v>
      </c>
      <c r="C18" s="24" t="s">
        <v>76</v>
      </c>
      <c r="D18" s="24" t="s">
        <v>77</v>
      </c>
      <c r="E18" s="27">
        <v>11000000</v>
      </c>
      <c r="F18" s="27">
        <v>10950000</v>
      </c>
      <c r="G18" s="27">
        <v>-50000</v>
      </c>
      <c r="H18" s="66">
        <v>0.995</v>
      </c>
      <c r="I18" s="29">
        <v>1.38</v>
      </c>
      <c r="J18" s="28">
        <v>0.67900000000000005</v>
      </c>
      <c r="K18" s="30" t="s">
        <v>60</v>
      </c>
      <c r="L18" s="27">
        <v>317500</v>
      </c>
      <c r="M18" s="27">
        <v>0</v>
      </c>
      <c r="N18" s="27">
        <v>317500</v>
      </c>
      <c r="O18" s="59" t="s">
        <v>144</v>
      </c>
    </row>
    <row r="19" spans="1:15" x14ac:dyDescent="0.3">
      <c r="A19" s="63" t="s">
        <v>215</v>
      </c>
      <c r="B19" s="17" t="s">
        <v>216</v>
      </c>
      <c r="C19" s="16" t="s">
        <v>66</v>
      </c>
      <c r="D19" s="16" t="s">
        <v>67</v>
      </c>
      <c r="E19" s="19">
        <v>22000000</v>
      </c>
      <c r="F19" s="19">
        <v>23100000</v>
      </c>
      <c r="G19" s="19">
        <v>1100000</v>
      </c>
      <c r="H19" s="67">
        <v>1.05</v>
      </c>
      <c r="I19" s="21">
        <v>2.2000000000000002</v>
      </c>
      <c r="J19" s="20">
        <v>0.47599999999999998</v>
      </c>
      <c r="K19" s="22" t="s">
        <v>47</v>
      </c>
      <c r="L19" s="19">
        <v>770000</v>
      </c>
      <c r="M19" s="19">
        <v>660000</v>
      </c>
      <c r="N19" s="19">
        <v>1430000</v>
      </c>
      <c r="O19" s="63" t="s">
        <v>144</v>
      </c>
    </row>
    <row r="20" spans="1:15" x14ac:dyDescent="0.3">
      <c r="A20" s="59" t="s">
        <v>215</v>
      </c>
      <c r="B20" s="25" t="s">
        <v>216</v>
      </c>
      <c r="C20" s="24" t="s">
        <v>88</v>
      </c>
      <c r="D20" s="24" t="s">
        <v>89</v>
      </c>
      <c r="E20" s="27">
        <v>6000000</v>
      </c>
      <c r="F20" s="27">
        <v>6050000</v>
      </c>
      <c r="G20" s="27">
        <v>50000</v>
      </c>
      <c r="H20" s="66">
        <v>1.008</v>
      </c>
      <c r="I20" s="29">
        <v>2.02</v>
      </c>
      <c r="J20" s="28">
        <v>0.495</v>
      </c>
      <c r="K20" s="22" t="s">
        <v>47</v>
      </c>
      <c r="L20" s="27">
        <v>165000</v>
      </c>
      <c r="M20" s="27">
        <v>0</v>
      </c>
      <c r="N20" s="27">
        <v>165000</v>
      </c>
      <c r="O20" s="59" t="s">
        <v>144</v>
      </c>
    </row>
    <row r="21" spans="1:15" x14ac:dyDescent="0.3">
      <c r="A21" s="63" t="s">
        <v>217</v>
      </c>
      <c r="B21" s="17" t="s">
        <v>218</v>
      </c>
      <c r="C21" s="16" t="s">
        <v>40</v>
      </c>
      <c r="D21" s="16" t="s">
        <v>41</v>
      </c>
      <c r="E21" s="19">
        <v>14000000</v>
      </c>
      <c r="F21" s="19">
        <v>14450000</v>
      </c>
      <c r="G21" s="19">
        <v>450000</v>
      </c>
      <c r="H21" s="67">
        <v>1.032</v>
      </c>
      <c r="I21" s="21">
        <v>2.0099999999999998</v>
      </c>
      <c r="J21" s="20">
        <v>0.52800000000000002</v>
      </c>
      <c r="K21" s="22" t="s">
        <v>47</v>
      </c>
      <c r="L21" s="19">
        <v>543750</v>
      </c>
      <c r="M21" s="19">
        <v>75000</v>
      </c>
      <c r="N21" s="19">
        <v>618750</v>
      </c>
      <c r="O21" s="63" t="s">
        <v>144</v>
      </c>
    </row>
    <row r="22" spans="1:15" x14ac:dyDescent="0.3">
      <c r="A22" s="59" t="s">
        <v>217</v>
      </c>
      <c r="B22" s="25" t="s">
        <v>218</v>
      </c>
      <c r="C22" s="24" t="s">
        <v>54</v>
      </c>
      <c r="D22" s="24" t="s">
        <v>55</v>
      </c>
      <c r="E22" s="27">
        <v>7750000</v>
      </c>
      <c r="F22" s="27">
        <v>7600000</v>
      </c>
      <c r="G22" s="27">
        <v>-150000</v>
      </c>
      <c r="H22" s="66">
        <v>0.98099999999999998</v>
      </c>
      <c r="I22" s="29">
        <v>1.19</v>
      </c>
      <c r="J22" s="28">
        <v>0.64500000000000002</v>
      </c>
      <c r="K22" s="30" t="s">
        <v>60</v>
      </c>
      <c r="L22" s="27">
        <v>276250</v>
      </c>
      <c r="M22" s="27">
        <v>0</v>
      </c>
      <c r="N22" s="27">
        <v>276250</v>
      </c>
      <c r="O22" s="59" t="s">
        <v>144</v>
      </c>
    </row>
    <row r="23" spans="1:15" x14ac:dyDescent="0.3">
      <c r="A23" s="63" t="s">
        <v>217</v>
      </c>
      <c r="B23" s="17" t="s">
        <v>218</v>
      </c>
      <c r="C23" s="16" t="s">
        <v>76</v>
      </c>
      <c r="D23" s="16" t="s">
        <v>77</v>
      </c>
      <c r="E23" s="19">
        <v>10750000</v>
      </c>
      <c r="F23" s="19">
        <v>10600000</v>
      </c>
      <c r="G23" s="19">
        <v>-150000</v>
      </c>
      <c r="H23" s="67">
        <v>0.98599999999999999</v>
      </c>
      <c r="I23" s="21">
        <v>1.35</v>
      </c>
      <c r="J23" s="20">
        <v>0.68300000000000005</v>
      </c>
      <c r="K23" s="30" t="s">
        <v>60</v>
      </c>
      <c r="L23" s="19">
        <v>309625</v>
      </c>
      <c r="M23" s="19">
        <v>0</v>
      </c>
      <c r="N23" s="19">
        <v>309625</v>
      </c>
      <c r="O23" s="63" t="s">
        <v>144</v>
      </c>
    </row>
    <row r="24" spans="1:15" x14ac:dyDescent="0.3">
      <c r="A24" s="59" t="s">
        <v>217</v>
      </c>
      <c r="B24" s="25" t="s">
        <v>218</v>
      </c>
      <c r="C24" s="24" t="s">
        <v>66</v>
      </c>
      <c r="D24" s="24" t="s">
        <v>67</v>
      </c>
      <c r="E24" s="27">
        <v>22000000</v>
      </c>
      <c r="F24" s="27">
        <v>23400000</v>
      </c>
      <c r="G24" s="27">
        <v>1400000</v>
      </c>
      <c r="H24" s="66">
        <v>1.0640000000000001</v>
      </c>
      <c r="I24" s="29">
        <v>2.25</v>
      </c>
      <c r="J24" s="28">
        <v>0.47199999999999998</v>
      </c>
      <c r="K24" s="22" t="s">
        <v>47</v>
      </c>
      <c r="L24" s="27">
        <v>770000</v>
      </c>
      <c r="M24" s="27">
        <v>660000</v>
      </c>
      <c r="N24" s="27">
        <v>1430000</v>
      </c>
      <c r="O24" s="59" t="s">
        <v>144</v>
      </c>
    </row>
    <row r="25" spans="1:15" x14ac:dyDescent="0.3">
      <c r="A25" s="63" t="s">
        <v>217</v>
      </c>
      <c r="B25" s="17" t="s">
        <v>218</v>
      </c>
      <c r="C25" s="16" t="s">
        <v>88</v>
      </c>
      <c r="D25" s="16" t="s">
        <v>89</v>
      </c>
      <c r="E25" s="19">
        <v>5750000</v>
      </c>
      <c r="F25" s="19">
        <v>5800000</v>
      </c>
      <c r="G25" s="19">
        <v>50000</v>
      </c>
      <c r="H25" s="67">
        <v>1.0089999999999999</v>
      </c>
      <c r="I25" s="21">
        <v>2.0499999999999998</v>
      </c>
      <c r="J25" s="20">
        <v>0.48899999999999999</v>
      </c>
      <c r="K25" s="22" t="s">
        <v>47</v>
      </c>
      <c r="L25" s="19">
        <v>158125</v>
      </c>
      <c r="M25" s="19">
        <v>0</v>
      </c>
      <c r="N25" s="19">
        <v>158125</v>
      </c>
      <c r="O25" s="63" t="s">
        <v>144</v>
      </c>
    </row>
    <row r="26" spans="1:15" x14ac:dyDescent="0.3">
      <c r="A26" s="59" t="s">
        <v>219</v>
      </c>
      <c r="B26" s="25" t="s">
        <v>220</v>
      </c>
      <c r="C26" s="24" t="s">
        <v>40</v>
      </c>
      <c r="D26" s="24" t="s">
        <v>41</v>
      </c>
      <c r="E26" s="27">
        <v>13750000</v>
      </c>
      <c r="F26" s="27">
        <v>14200000</v>
      </c>
      <c r="G26" s="27">
        <v>450000</v>
      </c>
      <c r="H26" s="66">
        <v>1.0329999999999999</v>
      </c>
      <c r="I26" s="29">
        <v>2.0499999999999998</v>
      </c>
      <c r="J26" s="28">
        <v>0.52400000000000002</v>
      </c>
      <c r="K26" s="22" t="s">
        <v>47</v>
      </c>
      <c r="L26" s="27">
        <v>543750</v>
      </c>
      <c r="M26" s="27">
        <v>75000</v>
      </c>
      <c r="N26" s="27">
        <v>618750</v>
      </c>
      <c r="O26" s="59" t="s">
        <v>144</v>
      </c>
    </row>
    <row r="27" spans="1:15" x14ac:dyDescent="0.3">
      <c r="A27" s="63" t="s">
        <v>219</v>
      </c>
      <c r="B27" s="17" t="s">
        <v>220</v>
      </c>
      <c r="C27" s="16" t="s">
        <v>54</v>
      </c>
      <c r="D27" s="16" t="s">
        <v>55</v>
      </c>
      <c r="E27" s="19">
        <v>7500000</v>
      </c>
      <c r="F27" s="19">
        <v>7350000</v>
      </c>
      <c r="G27" s="19">
        <v>-150000</v>
      </c>
      <c r="H27" s="67">
        <v>0.98</v>
      </c>
      <c r="I27" s="21">
        <v>1.18</v>
      </c>
      <c r="J27" s="20">
        <v>0.65100000000000002</v>
      </c>
      <c r="K27" s="30" t="s">
        <v>60</v>
      </c>
      <c r="L27" s="19">
        <v>276250</v>
      </c>
      <c r="M27" s="19">
        <v>0</v>
      </c>
      <c r="N27" s="19">
        <v>276250</v>
      </c>
      <c r="O27" s="63" t="s">
        <v>144</v>
      </c>
    </row>
    <row r="28" spans="1:15" x14ac:dyDescent="0.3">
      <c r="A28" s="59" t="s">
        <v>219</v>
      </c>
      <c r="B28" s="25" t="s">
        <v>220</v>
      </c>
      <c r="C28" s="24" t="s">
        <v>76</v>
      </c>
      <c r="D28" s="24" t="s">
        <v>77</v>
      </c>
      <c r="E28" s="27">
        <v>10500000</v>
      </c>
      <c r="F28" s="27">
        <v>10300000</v>
      </c>
      <c r="G28" s="27">
        <v>-200000</v>
      </c>
      <c r="H28" s="66">
        <v>0.98099999999999998</v>
      </c>
      <c r="I28" s="29">
        <v>1.33</v>
      </c>
      <c r="J28" s="28">
        <v>0.68799999999999994</v>
      </c>
      <c r="K28" s="31" t="s">
        <v>82</v>
      </c>
      <c r="L28" s="27">
        <v>302750</v>
      </c>
      <c r="M28" s="27">
        <v>0</v>
      </c>
      <c r="N28" s="27">
        <v>302750</v>
      </c>
      <c r="O28" s="59" t="s">
        <v>144</v>
      </c>
    </row>
    <row r="29" spans="1:15" x14ac:dyDescent="0.3">
      <c r="A29" s="63" t="s">
        <v>219</v>
      </c>
      <c r="B29" s="17" t="s">
        <v>220</v>
      </c>
      <c r="C29" s="16" t="s">
        <v>66</v>
      </c>
      <c r="D29" s="16" t="s">
        <v>67</v>
      </c>
      <c r="E29" s="19">
        <v>22000000</v>
      </c>
      <c r="F29" s="19">
        <v>23100000</v>
      </c>
      <c r="G29" s="19">
        <v>1100000</v>
      </c>
      <c r="H29" s="67">
        <v>1.05</v>
      </c>
      <c r="I29" s="21">
        <v>2.1800000000000002</v>
      </c>
      <c r="J29" s="20">
        <v>0.47799999999999998</v>
      </c>
      <c r="K29" s="22" t="s">
        <v>47</v>
      </c>
      <c r="L29" s="19">
        <v>770000</v>
      </c>
      <c r="M29" s="19">
        <v>660000</v>
      </c>
      <c r="N29" s="19">
        <v>1430000</v>
      </c>
      <c r="O29" s="63" t="s">
        <v>144</v>
      </c>
    </row>
    <row r="30" spans="1:15" x14ac:dyDescent="0.3">
      <c r="A30" s="59" t="s">
        <v>219</v>
      </c>
      <c r="B30" s="25" t="s">
        <v>220</v>
      </c>
      <c r="C30" s="24" t="s">
        <v>88</v>
      </c>
      <c r="D30" s="24" t="s">
        <v>89</v>
      </c>
      <c r="E30" s="27">
        <v>5500000</v>
      </c>
      <c r="F30" s="27">
        <v>5600000</v>
      </c>
      <c r="G30" s="27">
        <v>100000</v>
      </c>
      <c r="H30" s="66">
        <v>1.018</v>
      </c>
      <c r="I30" s="29">
        <v>2.08</v>
      </c>
      <c r="J30" s="28">
        <v>0.48399999999999999</v>
      </c>
      <c r="K30" s="22" t="s">
        <v>47</v>
      </c>
      <c r="L30" s="27">
        <v>151250</v>
      </c>
      <c r="M30" s="27">
        <v>0</v>
      </c>
      <c r="N30" s="27">
        <v>151250</v>
      </c>
      <c r="O30" s="59" t="s">
        <v>144</v>
      </c>
    </row>
    <row r="31" spans="1:15" x14ac:dyDescent="0.3">
      <c r="A31" s="63" t="s">
        <v>100</v>
      </c>
      <c r="B31" s="17" t="s">
        <v>101</v>
      </c>
      <c r="C31" s="16" t="s">
        <v>40</v>
      </c>
      <c r="D31" s="16" t="s">
        <v>41</v>
      </c>
      <c r="E31" s="19">
        <v>15000000</v>
      </c>
      <c r="F31" s="19">
        <v>15800000</v>
      </c>
      <c r="G31" s="19">
        <v>800000</v>
      </c>
      <c r="H31" s="67">
        <v>1.0529999999999999</v>
      </c>
      <c r="I31" s="21">
        <v>2.1800000000000002</v>
      </c>
      <c r="J31" s="20">
        <v>0.55000000000000004</v>
      </c>
      <c r="K31" s="22" t="s">
        <v>47</v>
      </c>
      <c r="L31" s="19">
        <v>543750</v>
      </c>
      <c r="M31" s="19">
        <v>75000</v>
      </c>
      <c r="N31" s="19">
        <v>618750</v>
      </c>
      <c r="O31" s="63" t="s">
        <v>144</v>
      </c>
    </row>
    <row r="32" spans="1:15" x14ac:dyDescent="0.3">
      <c r="A32" s="59" t="s">
        <v>100</v>
      </c>
      <c r="B32" s="25" t="s">
        <v>101</v>
      </c>
      <c r="C32" s="24" t="s">
        <v>54</v>
      </c>
      <c r="D32" s="24" t="s">
        <v>55</v>
      </c>
      <c r="E32" s="27">
        <v>8500000</v>
      </c>
      <c r="F32" s="27">
        <v>8200000</v>
      </c>
      <c r="G32" s="27">
        <v>-300000</v>
      </c>
      <c r="H32" s="66">
        <v>0.96499999999999997</v>
      </c>
      <c r="I32" s="29">
        <v>1.28</v>
      </c>
      <c r="J32" s="28">
        <v>0.62</v>
      </c>
      <c r="K32" s="30" t="s">
        <v>60</v>
      </c>
      <c r="L32" s="27">
        <v>276250</v>
      </c>
      <c r="M32" s="27">
        <v>0</v>
      </c>
      <c r="N32" s="27">
        <v>276250</v>
      </c>
      <c r="O32" s="59" t="s">
        <v>144</v>
      </c>
    </row>
    <row r="33" spans="1:15" x14ac:dyDescent="0.3">
      <c r="A33" s="63" t="s">
        <v>100</v>
      </c>
      <c r="B33" s="17" t="s">
        <v>101</v>
      </c>
      <c r="C33" s="16" t="s">
        <v>66</v>
      </c>
      <c r="D33" s="16" t="s">
        <v>67</v>
      </c>
      <c r="E33" s="19">
        <v>22000000</v>
      </c>
      <c r="F33" s="19">
        <v>23100000</v>
      </c>
      <c r="G33" s="19">
        <v>1100000</v>
      </c>
      <c r="H33" s="67">
        <v>1.05</v>
      </c>
      <c r="I33" s="21">
        <v>2.1</v>
      </c>
      <c r="J33" s="20">
        <v>0.48</v>
      </c>
      <c r="K33" s="22" t="s">
        <v>47</v>
      </c>
      <c r="L33" s="19">
        <v>880000</v>
      </c>
      <c r="M33" s="19">
        <v>660000</v>
      </c>
      <c r="N33" s="19">
        <v>1540000</v>
      </c>
      <c r="O33" s="63" t="s">
        <v>144</v>
      </c>
    </row>
    <row r="34" spans="1:15" x14ac:dyDescent="0.3">
      <c r="A34" s="59" t="s">
        <v>100</v>
      </c>
      <c r="B34" s="25" t="s">
        <v>101</v>
      </c>
      <c r="C34" s="24" t="s">
        <v>76</v>
      </c>
      <c r="D34" s="24" t="s">
        <v>77</v>
      </c>
      <c r="E34" s="27">
        <v>11000000</v>
      </c>
      <c r="F34" s="27">
        <v>11400000</v>
      </c>
      <c r="G34" s="27">
        <v>400000</v>
      </c>
      <c r="H34" s="66">
        <v>1.036</v>
      </c>
      <c r="I34" s="29">
        <v>1.32</v>
      </c>
      <c r="J34" s="28">
        <v>0.68</v>
      </c>
      <c r="K34" s="31" t="s">
        <v>82</v>
      </c>
      <c r="L34" s="27">
        <v>317500</v>
      </c>
      <c r="M34" s="27">
        <v>0</v>
      </c>
      <c r="N34" s="27">
        <v>317500</v>
      </c>
      <c r="O34" s="59" t="s">
        <v>144</v>
      </c>
    </row>
    <row r="35" spans="1:15" x14ac:dyDescent="0.3">
      <c r="A35" s="63" t="s">
        <v>100</v>
      </c>
      <c r="B35" s="17" t="s">
        <v>101</v>
      </c>
      <c r="C35" s="16" t="s">
        <v>88</v>
      </c>
      <c r="D35" s="16" t="s">
        <v>89</v>
      </c>
      <c r="E35" s="19">
        <v>6000000</v>
      </c>
      <c r="F35" s="19">
        <v>6150000</v>
      </c>
      <c r="G35" s="19">
        <v>150000</v>
      </c>
      <c r="H35" s="67">
        <v>1.0249999999999999</v>
      </c>
      <c r="I35" s="21">
        <v>1.95</v>
      </c>
      <c r="J35" s="20">
        <v>0.5</v>
      </c>
      <c r="K35" s="22" t="s">
        <v>47</v>
      </c>
      <c r="L35" s="19">
        <v>165000</v>
      </c>
      <c r="M35" s="19">
        <v>0</v>
      </c>
      <c r="N35" s="19">
        <v>165000</v>
      </c>
      <c r="O35" s="63" t="s">
        <v>144</v>
      </c>
    </row>
    <row r="38" spans="1:15" x14ac:dyDescent="0.3">
      <c r="A38" s="13" t="s">
        <v>221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spans="1:15" x14ac:dyDescent="0.3">
      <c r="A39" s="46" t="s">
        <v>95</v>
      </c>
      <c r="B39" s="46" t="s">
        <v>194</v>
      </c>
      <c r="C39" s="46" t="s">
        <v>222</v>
      </c>
      <c r="D39" s="46" t="s">
        <v>223</v>
      </c>
      <c r="E39" s="46" t="s">
        <v>152</v>
      </c>
      <c r="F39" s="46" t="s">
        <v>224</v>
      </c>
      <c r="G39" s="46" t="s">
        <v>225</v>
      </c>
      <c r="H39" s="46" t="s">
        <v>226</v>
      </c>
      <c r="I39" s="46" t="s">
        <v>227</v>
      </c>
      <c r="J39" s="46" t="s">
        <v>202</v>
      </c>
      <c r="K39" s="46" t="s">
        <v>228</v>
      </c>
    </row>
    <row r="40" spans="1:15" x14ac:dyDescent="0.3">
      <c r="A40" s="59" t="s">
        <v>204</v>
      </c>
      <c r="B40" s="25" t="s">
        <v>205</v>
      </c>
      <c r="C40" s="47">
        <f t="shared" ref="C40:C48" si="0">COUNTIF($A$6:$A$35,A40)</f>
        <v>1</v>
      </c>
      <c r="D40" s="27">
        <f t="shared" ref="D40:D48" si="1">SUMIF($A$6:$A$35,A40,$E$6:$E$35)</f>
        <v>15000000</v>
      </c>
      <c r="E40" s="27">
        <f t="shared" ref="E40:E48" si="2">SUMIF($A$6:$A$35,A40,$F$6:$F$35)</f>
        <v>15000000</v>
      </c>
      <c r="F40" s="27">
        <f t="shared" ref="F40:F48" si="3">SUMIF($A$6:$A$35,A40,$G$6:$G$35)</f>
        <v>0</v>
      </c>
      <c r="G40" s="66">
        <f t="shared" ref="G40:G48" si="4">IFERROR(SUMIF($A$6:$A$35,A40,$F$6:$F$35)/SUMIF($A$6:$A$35,A40,$E$6:$E$35),"")</f>
        <v>1</v>
      </c>
      <c r="H40" s="29" t="str">
        <f t="shared" ref="H40:H48" si="5">IFERROR(SUMPRODUCT(($A$6:$A$35=A40)*($I$6:$I$35&gt;0)*$E$6:$E$35*$I$6:$I$35)/SUMPRODUCT(($A$6:$A$35=A40)*($I$6:$I$35&gt;0)*$E$6:$E$35),"")</f>
        <v/>
      </c>
      <c r="I40" s="28">
        <f t="shared" ref="I40:I48" si="6">IFERROR(SUMPRODUCT(($A$6:$A$35=A40)*$E$6:$E$35*$J$6:$J$35)/SUMIF($A$6:$A$35,A40,$E$6:$E$35),"")</f>
        <v>0.55000000000000004</v>
      </c>
      <c r="J40" s="27">
        <f t="shared" ref="J40:J48" si="7">SUMIF($A$6:$A$35,A40,$N$6:$N$35)</f>
        <v>0</v>
      </c>
      <c r="K40" s="47">
        <f t="shared" ref="K40:K48" si="8">COUNTIFS($A$6:$A$35,A40,$K$6:$K$35,"Breach Risk")+COUNTIFS($A$6:$A$35,A40,$K$6:$K$35,"Monitoring")</f>
        <v>0</v>
      </c>
    </row>
    <row r="41" spans="1:15" x14ac:dyDescent="0.3">
      <c r="A41" s="63" t="s">
        <v>207</v>
      </c>
      <c r="B41" s="17" t="s">
        <v>208</v>
      </c>
      <c r="C41" s="51">
        <f t="shared" si="0"/>
        <v>1</v>
      </c>
      <c r="D41" s="19">
        <f t="shared" si="1"/>
        <v>15000000</v>
      </c>
      <c r="E41" s="19">
        <f t="shared" si="2"/>
        <v>15150000</v>
      </c>
      <c r="F41" s="19">
        <f t="shared" si="3"/>
        <v>150000</v>
      </c>
      <c r="G41" s="67">
        <f t="shared" si="4"/>
        <v>1.01</v>
      </c>
      <c r="H41" s="21">
        <f t="shared" si="5"/>
        <v>1.85</v>
      </c>
      <c r="I41" s="20">
        <f t="shared" si="6"/>
        <v>0.54500000000000004</v>
      </c>
      <c r="J41" s="19">
        <f t="shared" si="7"/>
        <v>618750</v>
      </c>
      <c r="K41" s="51">
        <f t="shared" si="8"/>
        <v>0</v>
      </c>
    </row>
    <row r="42" spans="1:15" x14ac:dyDescent="0.3">
      <c r="A42" s="59" t="s">
        <v>209</v>
      </c>
      <c r="B42" s="25" t="s">
        <v>210</v>
      </c>
      <c r="C42" s="47">
        <f t="shared" si="0"/>
        <v>1</v>
      </c>
      <c r="D42" s="27">
        <f t="shared" si="1"/>
        <v>15000000</v>
      </c>
      <c r="E42" s="27">
        <f t="shared" si="2"/>
        <v>15300000</v>
      </c>
      <c r="F42" s="27">
        <f t="shared" si="3"/>
        <v>300000</v>
      </c>
      <c r="G42" s="66">
        <f t="shared" si="4"/>
        <v>1.02</v>
      </c>
      <c r="H42" s="29">
        <f t="shared" si="5"/>
        <v>1.88</v>
      </c>
      <c r="I42" s="28">
        <f t="shared" si="6"/>
        <v>0.54</v>
      </c>
      <c r="J42" s="27">
        <f t="shared" si="7"/>
        <v>618750</v>
      </c>
      <c r="K42" s="47">
        <f t="shared" si="8"/>
        <v>0</v>
      </c>
    </row>
    <row r="43" spans="1:15" x14ac:dyDescent="0.3">
      <c r="A43" s="63" t="s">
        <v>211</v>
      </c>
      <c r="B43" s="17" t="s">
        <v>212</v>
      </c>
      <c r="C43" s="51">
        <f t="shared" si="0"/>
        <v>3</v>
      </c>
      <c r="D43" s="19">
        <f t="shared" si="1"/>
        <v>34250000</v>
      </c>
      <c r="E43" s="19">
        <f t="shared" si="2"/>
        <v>34450000</v>
      </c>
      <c r="F43" s="19">
        <f t="shared" si="3"/>
        <v>200000</v>
      </c>
      <c r="G43" s="67">
        <f t="shared" si="4"/>
        <v>1.0058394160583941</v>
      </c>
      <c r="H43" s="21">
        <f t="shared" si="5"/>
        <v>1.6133576642335767</v>
      </c>
      <c r="I43" s="20">
        <f t="shared" si="6"/>
        <v>0.59826277372262771</v>
      </c>
      <c r="J43" s="19">
        <f t="shared" si="7"/>
        <v>1212500</v>
      </c>
      <c r="K43" s="51">
        <f t="shared" si="8"/>
        <v>0</v>
      </c>
    </row>
    <row r="44" spans="1:15" x14ac:dyDescent="0.3">
      <c r="A44" s="59" t="s">
        <v>213</v>
      </c>
      <c r="B44" s="25" t="s">
        <v>214</v>
      </c>
      <c r="C44" s="47">
        <f t="shared" si="0"/>
        <v>4</v>
      </c>
      <c r="D44" s="27">
        <f t="shared" si="1"/>
        <v>55750000</v>
      </c>
      <c r="E44" s="27">
        <f t="shared" si="2"/>
        <v>56400000</v>
      </c>
      <c r="F44" s="27">
        <f t="shared" si="3"/>
        <v>650000</v>
      </c>
      <c r="G44" s="66">
        <f t="shared" si="4"/>
        <v>1.0116591928251122</v>
      </c>
      <c r="H44" s="29">
        <f t="shared" si="5"/>
        <v>1.8176681614349777</v>
      </c>
      <c r="I44" s="28">
        <f t="shared" si="6"/>
        <v>0.55364573991031385</v>
      </c>
      <c r="J44" s="27">
        <f t="shared" si="7"/>
        <v>2642500</v>
      </c>
      <c r="K44" s="47">
        <f t="shared" si="8"/>
        <v>1</v>
      </c>
    </row>
    <row r="45" spans="1:15" x14ac:dyDescent="0.3">
      <c r="A45" s="63" t="s">
        <v>215</v>
      </c>
      <c r="B45" s="17" t="s">
        <v>216</v>
      </c>
      <c r="C45" s="51">
        <f t="shared" si="0"/>
        <v>5</v>
      </c>
      <c r="D45" s="19">
        <f t="shared" si="1"/>
        <v>61250000</v>
      </c>
      <c r="E45" s="19">
        <f t="shared" si="2"/>
        <v>62500000</v>
      </c>
      <c r="F45" s="19">
        <f t="shared" si="3"/>
        <v>1250000</v>
      </c>
      <c r="G45" s="67">
        <f t="shared" si="4"/>
        <v>1.0204081632653061</v>
      </c>
      <c r="H45" s="21">
        <f t="shared" si="5"/>
        <v>1.853591836734694</v>
      </c>
      <c r="I45" s="20">
        <f t="shared" si="6"/>
        <v>0.54850612244897956</v>
      </c>
      <c r="J45" s="19">
        <f t="shared" si="7"/>
        <v>2807500</v>
      </c>
      <c r="K45" s="51">
        <f t="shared" si="8"/>
        <v>2</v>
      </c>
    </row>
    <row r="46" spans="1:15" x14ac:dyDescent="0.3">
      <c r="A46" s="59" t="s">
        <v>217</v>
      </c>
      <c r="B46" s="25" t="s">
        <v>218</v>
      </c>
      <c r="C46" s="47">
        <f t="shared" si="0"/>
        <v>5</v>
      </c>
      <c r="D46" s="27">
        <f t="shared" si="1"/>
        <v>60250000</v>
      </c>
      <c r="E46" s="27">
        <f t="shared" si="2"/>
        <v>61850000</v>
      </c>
      <c r="F46" s="27">
        <f t="shared" si="3"/>
        <v>1600000</v>
      </c>
      <c r="G46" s="66">
        <f t="shared" si="4"/>
        <v>1.0265560165975103</v>
      </c>
      <c r="H46" s="29">
        <f t="shared" si="5"/>
        <v>1.8782157676348548</v>
      </c>
      <c r="I46" s="28">
        <f t="shared" si="6"/>
        <v>0.54653526970954358</v>
      </c>
      <c r="J46" s="27">
        <f t="shared" si="7"/>
        <v>2792750</v>
      </c>
      <c r="K46" s="47">
        <f t="shared" si="8"/>
        <v>2</v>
      </c>
    </row>
    <row r="47" spans="1:15" x14ac:dyDescent="0.3">
      <c r="A47" s="63" t="s">
        <v>219</v>
      </c>
      <c r="B47" s="17" t="s">
        <v>220</v>
      </c>
      <c r="C47" s="51">
        <f t="shared" si="0"/>
        <v>5</v>
      </c>
      <c r="D47" s="19">
        <f t="shared" si="1"/>
        <v>59250000</v>
      </c>
      <c r="E47" s="19">
        <f t="shared" si="2"/>
        <v>60550000</v>
      </c>
      <c r="F47" s="19">
        <f t="shared" si="3"/>
        <v>1300000</v>
      </c>
      <c r="G47" s="67">
        <f t="shared" si="4"/>
        <v>1.0219409282700422</v>
      </c>
      <c r="H47" s="21">
        <f t="shared" si="5"/>
        <v>1.8633333333333333</v>
      </c>
      <c r="I47" s="20">
        <f t="shared" si="6"/>
        <v>0.54834599156118147</v>
      </c>
      <c r="J47" s="19">
        <f t="shared" si="7"/>
        <v>2779000</v>
      </c>
      <c r="K47" s="51">
        <f t="shared" si="8"/>
        <v>2</v>
      </c>
    </row>
    <row r="48" spans="1:15" x14ac:dyDescent="0.3">
      <c r="A48" s="59" t="s">
        <v>100</v>
      </c>
      <c r="B48" s="25" t="s">
        <v>101</v>
      </c>
      <c r="C48" s="47">
        <f t="shared" si="0"/>
        <v>5</v>
      </c>
      <c r="D48" s="27">
        <f t="shared" si="1"/>
        <v>62500000</v>
      </c>
      <c r="E48" s="27">
        <f t="shared" si="2"/>
        <v>64650000</v>
      </c>
      <c r="F48" s="27">
        <f t="shared" si="3"/>
        <v>2150000</v>
      </c>
      <c r="G48" s="66">
        <f t="shared" si="4"/>
        <v>1.0344</v>
      </c>
      <c r="H48" s="29">
        <f t="shared" si="5"/>
        <v>1.8560000000000001</v>
      </c>
      <c r="I48" s="28">
        <f t="shared" si="6"/>
        <v>0.55296000000000001</v>
      </c>
      <c r="J48" s="27">
        <f t="shared" si="7"/>
        <v>2917500</v>
      </c>
      <c r="K48" s="47">
        <f t="shared" si="8"/>
        <v>2</v>
      </c>
    </row>
    <row r="52" spans="1:11" x14ac:dyDescent="0.3">
      <c r="A52" s="13" t="s">
        <v>229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</row>
  </sheetData>
  <mergeCells count="5">
    <mergeCell ref="A1:S1"/>
    <mergeCell ref="A2:S2"/>
    <mergeCell ref="A4:R4"/>
    <mergeCell ref="A38:K38"/>
    <mergeCell ref="A52:K5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RISK_DASHBOARD</vt:lpstr>
      <vt:lpstr>EXPOSURE_ANALYSIS</vt:lpstr>
      <vt:lpstr>LOAN_DATA</vt:lpstr>
      <vt:lpstr>ASSUMPTIONS</vt:lpstr>
      <vt:lpstr>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Vineet Gavri</cp:lastModifiedBy>
  <cp:revision>1</cp:revision>
  <dcterms:created xsi:type="dcterms:W3CDTF">2026-07-01T21:05:17Z</dcterms:created>
  <dcterms:modified xsi:type="dcterms:W3CDTF">2026-07-01T21:08:50Z</dcterms:modified>
  <dc:language>en-US</dc:language>
</cp:coreProperties>
</file>